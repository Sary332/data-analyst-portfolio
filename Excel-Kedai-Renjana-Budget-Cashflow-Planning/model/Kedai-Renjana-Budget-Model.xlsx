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 Cowork\Outputs\Project-Brief-Generator\Excel-Kedai-Renjana-Budget-Cashflow-Planning\"/>
    </mc:Choice>
  </mc:AlternateContent>
  <xr:revisionPtr revIDLastSave="0" documentId="13_ncr:1_{EF71F275-DFC3-4D64-B0DC-392213E903D0}" xr6:coauthVersionLast="47" xr6:coauthVersionMax="47" xr10:uidLastSave="{00000000-0000-0000-0000-000000000000}"/>
  <bookViews>
    <workbookView xWindow="-108" yWindow="-108" windowWidth="23256" windowHeight="12456" xr2:uid="{1C45B51B-43C3-45C9-8026-1536080D4DDE}"/>
  </bookViews>
  <sheets>
    <sheet name="Assumptions_Parameters" sheetId="1" r:id="rId1"/>
    <sheet name="Outlet_Reference" sheetId="4" r:id="rId2"/>
    <sheet name="Daily_Sales" sheetId="2" r:id="rId3"/>
    <sheet name="Monthly_Costs" sheetId="3" r:id="rId4"/>
    <sheet name="Projection" sheetId="5" r:id="rId5"/>
    <sheet name="New_Outlet_Scenario" sheetId="7" r:id="rId6"/>
    <sheet name="Scenario Summary" sheetId="8" r:id="rId7"/>
  </sheets>
  <calcPr calcId="191029" fullCalcOnLoad="1"/>
  <pivotCaches>
    <pivotCache cacheId="2" r:id="rId8"/>
    <pivotCache cacheId="3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7" l="1"/>
  <c r="F16" i="7"/>
  <c r="F15" i="7"/>
  <c r="F14" i="7"/>
  <c r="F13" i="7"/>
  <c r="F12" i="7"/>
  <c r="F11" i="7"/>
  <c r="F10" i="7"/>
  <c r="F9" i="7"/>
  <c r="F8" i="7"/>
  <c r="F7" i="7"/>
  <c r="F6" i="7"/>
  <c r="J6" i="7" s="1"/>
  <c r="E7" i="7"/>
  <c r="K6" i="7"/>
  <c r="A40" i="5"/>
  <c r="A39" i="5"/>
  <c r="A38" i="5"/>
  <c r="A37" i="5"/>
  <c r="A36" i="5"/>
  <c r="A35" i="5"/>
  <c r="A34" i="5"/>
  <c r="A33" i="5"/>
  <c r="A32" i="5"/>
  <c r="A31" i="5"/>
  <c r="A30" i="5"/>
  <c r="A29" i="5"/>
  <c r="G25" i="5"/>
  <c r="F25" i="5"/>
  <c r="E25" i="5"/>
  <c r="C25" i="5"/>
  <c r="B25" i="5"/>
  <c r="A25" i="5"/>
  <c r="F24" i="5"/>
  <c r="E24" i="5"/>
  <c r="G24" i="5" s="1"/>
  <c r="C24" i="5"/>
  <c r="B24" i="5"/>
  <c r="A24" i="5"/>
  <c r="G23" i="5"/>
  <c r="F23" i="5"/>
  <c r="E23" i="5"/>
  <c r="C23" i="5"/>
  <c r="B23" i="5"/>
  <c r="A23" i="5"/>
  <c r="F22" i="5"/>
  <c r="E22" i="5"/>
  <c r="C22" i="5"/>
  <c r="B22" i="5"/>
  <c r="D22" i="5" s="1"/>
  <c r="A22" i="5"/>
  <c r="G21" i="5"/>
  <c r="F21" i="5"/>
  <c r="E21" i="5"/>
  <c r="C21" i="5"/>
  <c r="B21" i="5"/>
  <c r="A21" i="5"/>
  <c r="F20" i="5"/>
  <c r="E20" i="5"/>
  <c r="G20" i="5" s="1"/>
  <c r="C20" i="5"/>
  <c r="B20" i="5"/>
  <c r="A20" i="5"/>
  <c r="G19" i="5"/>
  <c r="F19" i="5"/>
  <c r="E19" i="5"/>
  <c r="C19" i="5"/>
  <c r="B19" i="5"/>
  <c r="A19" i="5"/>
  <c r="F18" i="5"/>
  <c r="E18" i="5"/>
  <c r="C18" i="5"/>
  <c r="B18" i="5"/>
  <c r="A18" i="5"/>
  <c r="F17" i="5"/>
  <c r="E17" i="5"/>
  <c r="C17" i="5"/>
  <c r="K17" i="5" s="1"/>
  <c r="B17" i="5"/>
  <c r="A17" i="5"/>
  <c r="G16" i="5"/>
  <c r="F16" i="5"/>
  <c r="E16" i="5"/>
  <c r="C16" i="5"/>
  <c r="B16" i="5"/>
  <c r="A16" i="5"/>
  <c r="F15" i="5"/>
  <c r="E15" i="5"/>
  <c r="G15" i="5" s="1"/>
  <c r="C15" i="5"/>
  <c r="B15" i="5"/>
  <c r="A15" i="5"/>
  <c r="G14" i="5"/>
  <c r="F14" i="5"/>
  <c r="E14" i="5"/>
  <c r="C14" i="5"/>
  <c r="B14" i="5"/>
  <c r="A14" i="5"/>
  <c r="G13" i="5"/>
  <c r="F13" i="5"/>
  <c r="P13" i="5" s="1"/>
  <c r="E13" i="5"/>
  <c r="O13" i="5" s="1"/>
  <c r="C13" i="5"/>
  <c r="B13" i="5"/>
  <c r="J13" i="5" s="1"/>
  <c r="A13" i="5"/>
  <c r="G12" i="5"/>
  <c r="F12" i="5"/>
  <c r="P12" i="5" s="1"/>
  <c r="E12" i="5"/>
  <c r="C12" i="5"/>
  <c r="B12" i="5"/>
  <c r="J12" i="5" s="1"/>
  <c r="A12" i="5"/>
  <c r="G11" i="5"/>
  <c r="F11" i="5"/>
  <c r="P11" i="5" s="1"/>
  <c r="E11" i="5"/>
  <c r="O11" i="5" s="1"/>
  <c r="C11" i="5"/>
  <c r="N11" i="5" s="1"/>
  <c r="B11" i="5"/>
  <c r="J11" i="5" s="1"/>
  <c r="A11" i="5"/>
  <c r="G10" i="5"/>
  <c r="F10" i="5"/>
  <c r="P10" i="5" s="1"/>
  <c r="E10" i="5"/>
  <c r="C10" i="5"/>
  <c r="B10" i="5"/>
  <c r="M10" i="5" s="1"/>
  <c r="A10" i="5"/>
  <c r="G9" i="5"/>
  <c r="F9" i="5"/>
  <c r="P9" i="5" s="1"/>
  <c r="E9" i="5"/>
  <c r="O9" i="5" s="1"/>
  <c r="C9" i="5"/>
  <c r="B9" i="5"/>
  <c r="J9" i="5" s="1"/>
  <c r="A9" i="5"/>
  <c r="M8" i="5"/>
  <c r="F8" i="5"/>
  <c r="G8" i="5" s="1"/>
  <c r="E8" i="5"/>
  <c r="D8" i="5"/>
  <c r="C8" i="5"/>
  <c r="B8" i="5"/>
  <c r="J8" i="5" s="1"/>
  <c r="A8" i="5"/>
  <c r="P7" i="5"/>
  <c r="F7" i="5"/>
  <c r="E7" i="5"/>
  <c r="O7" i="5" s="1"/>
  <c r="C7" i="5"/>
  <c r="K7" i="5" s="1"/>
  <c r="B7" i="5"/>
  <c r="A7" i="5"/>
  <c r="P6" i="5"/>
  <c r="F6" i="5"/>
  <c r="E6" i="5"/>
  <c r="O6" i="5" s="1"/>
  <c r="C6" i="5"/>
  <c r="K6" i="5" s="1"/>
  <c r="B6" i="5"/>
  <c r="A6" i="5"/>
  <c r="P5" i="5"/>
  <c r="F5" i="5"/>
  <c r="E5" i="5"/>
  <c r="G5" i="5" s="1"/>
  <c r="C5" i="5"/>
  <c r="B5" i="5"/>
  <c r="A5" i="5"/>
  <c r="O4" i="5"/>
  <c r="F4" i="5"/>
  <c r="G4" i="5" s="1"/>
  <c r="E4" i="5"/>
  <c r="C4" i="5"/>
  <c r="K4" i="5" s="1"/>
  <c r="B4" i="5"/>
  <c r="M4" i="5" s="1"/>
  <c r="A4" i="5"/>
  <c r="G3" i="5"/>
  <c r="F3" i="5"/>
  <c r="E3" i="5"/>
  <c r="C3" i="5"/>
  <c r="B3" i="5"/>
  <c r="J3" i="5" s="1"/>
  <c r="A3" i="5"/>
  <c r="O2" i="5"/>
  <c r="F2" i="5"/>
  <c r="E2" i="5"/>
  <c r="G2" i="5" s="1"/>
  <c r="C2" i="5"/>
  <c r="B2" i="5"/>
  <c r="F1372" i="2"/>
  <c r="E1372" i="2"/>
  <c r="F1371" i="2"/>
  <c r="E1371" i="2"/>
  <c r="F1370" i="2"/>
  <c r="E1370" i="2"/>
  <c r="F1369" i="2"/>
  <c r="E1369" i="2"/>
  <c r="F1368" i="2"/>
  <c r="E1368" i="2"/>
  <c r="F1367" i="2"/>
  <c r="E1367" i="2"/>
  <c r="F1366" i="2"/>
  <c r="E1366" i="2"/>
  <c r="F1365" i="2"/>
  <c r="E1365" i="2"/>
  <c r="F1364" i="2"/>
  <c r="E1364" i="2"/>
  <c r="F1363" i="2"/>
  <c r="E1363" i="2"/>
  <c r="F1362" i="2"/>
  <c r="E1362" i="2"/>
  <c r="F1361" i="2"/>
  <c r="E1361" i="2"/>
  <c r="F1360" i="2"/>
  <c r="E1360" i="2"/>
  <c r="F1359" i="2"/>
  <c r="E1359" i="2"/>
  <c r="F1358" i="2"/>
  <c r="E1358" i="2"/>
  <c r="F1357" i="2"/>
  <c r="E1357" i="2"/>
  <c r="F1356" i="2"/>
  <c r="E1356" i="2"/>
  <c r="F1355" i="2"/>
  <c r="E1355" i="2"/>
  <c r="F1354" i="2"/>
  <c r="E1354" i="2"/>
  <c r="F1353" i="2"/>
  <c r="E1353" i="2"/>
  <c r="F1352" i="2"/>
  <c r="E1352" i="2"/>
  <c r="F1351" i="2"/>
  <c r="E1351" i="2"/>
  <c r="F1350" i="2"/>
  <c r="E1350" i="2"/>
  <c r="F1349" i="2"/>
  <c r="E1349" i="2"/>
  <c r="F1348" i="2"/>
  <c r="E1348" i="2"/>
  <c r="F1347" i="2"/>
  <c r="E1347" i="2"/>
  <c r="F1346" i="2"/>
  <c r="E1346" i="2"/>
  <c r="F1345" i="2"/>
  <c r="E1345" i="2"/>
  <c r="F1344" i="2"/>
  <c r="E1344" i="2"/>
  <c r="F1343" i="2"/>
  <c r="E1343" i="2"/>
  <c r="F1342" i="2"/>
  <c r="E1342" i="2"/>
  <c r="F1341" i="2"/>
  <c r="E1341" i="2"/>
  <c r="F1340" i="2"/>
  <c r="E1340" i="2"/>
  <c r="F1339" i="2"/>
  <c r="E1339" i="2"/>
  <c r="F1338" i="2"/>
  <c r="E1338" i="2"/>
  <c r="F1337" i="2"/>
  <c r="E1337" i="2"/>
  <c r="F1336" i="2"/>
  <c r="E1336" i="2"/>
  <c r="F1335" i="2"/>
  <c r="E1335" i="2"/>
  <c r="F1334" i="2"/>
  <c r="E1334" i="2"/>
  <c r="F1333" i="2"/>
  <c r="E1333" i="2"/>
  <c r="F1332" i="2"/>
  <c r="E1332" i="2"/>
  <c r="F1331" i="2"/>
  <c r="E1331" i="2"/>
  <c r="F1330" i="2"/>
  <c r="E1330" i="2"/>
  <c r="F1329" i="2"/>
  <c r="E1329" i="2"/>
  <c r="F1328" i="2"/>
  <c r="E1328" i="2"/>
  <c r="F1327" i="2"/>
  <c r="E1327" i="2"/>
  <c r="F1326" i="2"/>
  <c r="E1326" i="2"/>
  <c r="F1325" i="2"/>
  <c r="E1325" i="2"/>
  <c r="F1324" i="2"/>
  <c r="E1324" i="2"/>
  <c r="F1323" i="2"/>
  <c r="E1323" i="2"/>
  <c r="F1322" i="2"/>
  <c r="E1322" i="2"/>
  <c r="F1321" i="2"/>
  <c r="E1321" i="2"/>
  <c r="F1320" i="2"/>
  <c r="E1320" i="2"/>
  <c r="F1319" i="2"/>
  <c r="E1319" i="2"/>
  <c r="F1318" i="2"/>
  <c r="E1318" i="2"/>
  <c r="F1317" i="2"/>
  <c r="E1317" i="2"/>
  <c r="F1316" i="2"/>
  <c r="E1316" i="2"/>
  <c r="F1315" i="2"/>
  <c r="E1315" i="2"/>
  <c r="F1314" i="2"/>
  <c r="E1314" i="2"/>
  <c r="F1313" i="2"/>
  <c r="E1313" i="2"/>
  <c r="F1312" i="2"/>
  <c r="E1312" i="2"/>
  <c r="F1311" i="2"/>
  <c r="E1311" i="2"/>
  <c r="F1310" i="2"/>
  <c r="E1310" i="2"/>
  <c r="F1309" i="2"/>
  <c r="E1309" i="2"/>
  <c r="F1308" i="2"/>
  <c r="E1308" i="2"/>
  <c r="F1307" i="2"/>
  <c r="E1307" i="2"/>
  <c r="F1306" i="2"/>
  <c r="E1306" i="2"/>
  <c r="F1305" i="2"/>
  <c r="E1305" i="2"/>
  <c r="F1304" i="2"/>
  <c r="E1304" i="2"/>
  <c r="F1303" i="2"/>
  <c r="E1303" i="2"/>
  <c r="F1302" i="2"/>
  <c r="E1302" i="2"/>
  <c r="F1301" i="2"/>
  <c r="E1301" i="2"/>
  <c r="F1300" i="2"/>
  <c r="E1300" i="2"/>
  <c r="F1299" i="2"/>
  <c r="E1299" i="2"/>
  <c r="F1298" i="2"/>
  <c r="E1298" i="2"/>
  <c r="F1297" i="2"/>
  <c r="E1297" i="2"/>
  <c r="F1296" i="2"/>
  <c r="E1296" i="2"/>
  <c r="F1295" i="2"/>
  <c r="E1295" i="2"/>
  <c r="F1294" i="2"/>
  <c r="E1294" i="2"/>
  <c r="F1293" i="2"/>
  <c r="E1293" i="2"/>
  <c r="F1292" i="2"/>
  <c r="E1292" i="2"/>
  <c r="F1291" i="2"/>
  <c r="E1291" i="2"/>
  <c r="F1290" i="2"/>
  <c r="E1290" i="2"/>
  <c r="F1289" i="2"/>
  <c r="E1289" i="2"/>
  <c r="F1288" i="2"/>
  <c r="E1288" i="2"/>
  <c r="F1287" i="2"/>
  <c r="E1287" i="2"/>
  <c r="F1286" i="2"/>
  <c r="E1286" i="2"/>
  <c r="F1285" i="2"/>
  <c r="E1285" i="2"/>
  <c r="F1284" i="2"/>
  <c r="E1284" i="2"/>
  <c r="F1283" i="2"/>
  <c r="E1283" i="2"/>
  <c r="F1282" i="2"/>
  <c r="E1282" i="2"/>
  <c r="F1281" i="2"/>
  <c r="E1281" i="2"/>
  <c r="F1280" i="2"/>
  <c r="E1280" i="2"/>
  <c r="F1279" i="2"/>
  <c r="E1279" i="2"/>
  <c r="F1278" i="2"/>
  <c r="E1278" i="2"/>
  <c r="F1277" i="2"/>
  <c r="E1277" i="2"/>
  <c r="F1276" i="2"/>
  <c r="E1276" i="2"/>
  <c r="F1275" i="2"/>
  <c r="E1275" i="2"/>
  <c r="F1274" i="2"/>
  <c r="E1274" i="2"/>
  <c r="F1273" i="2"/>
  <c r="E1273" i="2"/>
  <c r="F1272" i="2"/>
  <c r="E1272" i="2"/>
  <c r="F1271" i="2"/>
  <c r="E1271" i="2"/>
  <c r="F1270" i="2"/>
  <c r="E1270" i="2"/>
  <c r="F1269" i="2"/>
  <c r="E1269" i="2"/>
  <c r="F1268" i="2"/>
  <c r="E1268" i="2"/>
  <c r="F1267" i="2"/>
  <c r="E1267" i="2"/>
  <c r="F1266" i="2"/>
  <c r="E1266" i="2"/>
  <c r="F1265" i="2"/>
  <c r="E1265" i="2"/>
  <c r="F1264" i="2"/>
  <c r="E1264" i="2"/>
  <c r="F1263" i="2"/>
  <c r="E1263" i="2"/>
  <c r="F1262" i="2"/>
  <c r="E1262" i="2"/>
  <c r="F1261" i="2"/>
  <c r="E1261" i="2"/>
  <c r="F1260" i="2"/>
  <c r="E1260" i="2"/>
  <c r="F1259" i="2"/>
  <c r="E1259" i="2"/>
  <c r="F1258" i="2"/>
  <c r="E1258" i="2"/>
  <c r="F1257" i="2"/>
  <c r="E1257" i="2"/>
  <c r="F1256" i="2"/>
  <c r="E1256" i="2"/>
  <c r="F1255" i="2"/>
  <c r="E1255" i="2"/>
  <c r="F1254" i="2"/>
  <c r="E1254" i="2"/>
  <c r="F1253" i="2"/>
  <c r="E1253" i="2"/>
  <c r="F1252" i="2"/>
  <c r="E1252" i="2"/>
  <c r="F1251" i="2"/>
  <c r="E1251" i="2"/>
  <c r="F1250" i="2"/>
  <c r="E1250" i="2"/>
  <c r="F1249" i="2"/>
  <c r="E1249" i="2"/>
  <c r="F1248" i="2"/>
  <c r="E1248" i="2"/>
  <c r="F1247" i="2"/>
  <c r="E1247" i="2"/>
  <c r="F1246" i="2"/>
  <c r="E1246" i="2"/>
  <c r="F1245" i="2"/>
  <c r="E1245" i="2"/>
  <c r="F1244" i="2"/>
  <c r="E1244" i="2"/>
  <c r="F1243" i="2"/>
  <c r="E1243" i="2"/>
  <c r="F1242" i="2"/>
  <c r="E1242" i="2"/>
  <c r="F1241" i="2"/>
  <c r="E1241" i="2"/>
  <c r="F1240" i="2"/>
  <c r="E1240" i="2"/>
  <c r="F1239" i="2"/>
  <c r="E1239" i="2"/>
  <c r="F1238" i="2"/>
  <c r="E1238" i="2"/>
  <c r="F1237" i="2"/>
  <c r="E1237" i="2"/>
  <c r="F1236" i="2"/>
  <c r="E1236" i="2"/>
  <c r="F1235" i="2"/>
  <c r="E1235" i="2"/>
  <c r="F1234" i="2"/>
  <c r="E1234" i="2"/>
  <c r="F1233" i="2"/>
  <c r="E1233" i="2"/>
  <c r="F1232" i="2"/>
  <c r="E1232" i="2"/>
  <c r="F1231" i="2"/>
  <c r="E1231" i="2"/>
  <c r="F1230" i="2"/>
  <c r="E1230" i="2"/>
  <c r="F1229" i="2"/>
  <c r="E1229" i="2"/>
  <c r="F1228" i="2"/>
  <c r="E1228" i="2"/>
  <c r="F1227" i="2"/>
  <c r="E1227" i="2"/>
  <c r="F1226" i="2"/>
  <c r="E1226" i="2"/>
  <c r="F1225" i="2"/>
  <c r="E1225" i="2"/>
  <c r="F1224" i="2"/>
  <c r="E1224" i="2"/>
  <c r="F1223" i="2"/>
  <c r="E1223" i="2"/>
  <c r="F1222" i="2"/>
  <c r="E1222" i="2"/>
  <c r="F1221" i="2"/>
  <c r="E1221" i="2"/>
  <c r="F1220" i="2"/>
  <c r="E1220" i="2"/>
  <c r="F1219" i="2"/>
  <c r="E1219" i="2"/>
  <c r="F1218" i="2"/>
  <c r="E1218" i="2"/>
  <c r="F1217" i="2"/>
  <c r="E1217" i="2"/>
  <c r="F1216" i="2"/>
  <c r="E1216" i="2"/>
  <c r="F1215" i="2"/>
  <c r="E1215" i="2"/>
  <c r="F1214" i="2"/>
  <c r="E1214" i="2"/>
  <c r="F1213" i="2"/>
  <c r="E1213" i="2"/>
  <c r="F1212" i="2"/>
  <c r="E1212" i="2"/>
  <c r="F1211" i="2"/>
  <c r="E1211" i="2"/>
  <c r="F1210" i="2"/>
  <c r="E1210" i="2"/>
  <c r="F1209" i="2"/>
  <c r="E1209" i="2"/>
  <c r="F1208" i="2"/>
  <c r="E1208" i="2"/>
  <c r="F1207" i="2"/>
  <c r="E1207" i="2"/>
  <c r="F1206" i="2"/>
  <c r="E1206" i="2"/>
  <c r="F1205" i="2"/>
  <c r="E1205" i="2"/>
  <c r="F1204" i="2"/>
  <c r="E1204" i="2"/>
  <c r="F1203" i="2"/>
  <c r="E1203" i="2"/>
  <c r="F1202" i="2"/>
  <c r="E1202" i="2"/>
  <c r="F1201" i="2"/>
  <c r="E1201" i="2"/>
  <c r="F1200" i="2"/>
  <c r="E1200" i="2"/>
  <c r="F1199" i="2"/>
  <c r="E1199" i="2"/>
  <c r="F1198" i="2"/>
  <c r="E1198" i="2"/>
  <c r="F1197" i="2"/>
  <c r="E1197" i="2"/>
  <c r="F1196" i="2"/>
  <c r="E1196" i="2"/>
  <c r="F1195" i="2"/>
  <c r="E1195" i="2"/>
  <c r="F1194" i="2"/>
  <c r="E1194" i="2"/>
  <c r="F1193" i="2"/>
  <c r="E1193" i="2"/>
  <c r="F1192" i="2"/>
  <c r="E1192" i="2"/>
  <c r="F1191" i="2"/>
  <c r="E1191" i="2"/>
  <c r="F1190" i="2"/>
  <c r="E1190" i="2"/>
  <c r="F1189" i="2"/>
  <c r="E1189" i="2"/>
  <c r="F1188" i="2"/>
  <c r="E1188" i="2"/>
  <c r="F1187" i="2"/>
  <c r="E1187" i="2"/>
  <c r="F1186" i="2"/>
  <c r="E1186" i="2"/>
  <c r="F1185" i="2"/>
  <c r="E1185" i="2"/>
  <c r="F1184" i="2"/>
  <c r="E1184" i="2"/>
  <c r="F1183" i="2"/>
  <c r="E1183" i="2"/>
  <c r="F1182" i="2"/>
  <c r="E1182" i="2"/>
  <c r="F1181" i="2"/>
  <c r="E1181" i="2"/>
  <c r="F1180" i="2"/>
  <c r="E1180" i="2"/>
  <c r="F1179" i="2"/>
  <c r="E1179" i="2"/>
  <c r="F1178" i="2"/>
  <c r="E1178" i="2"/>
  <c r="F1177" i="2"/>
  <c r="E1177" i="2"/>
  <c r="F1176" i="2"/>
  <c r="E1176" i="2"/>
  <c r="F1175" i="2"/>
  <c r="E1175" i="2"/>
  <c r="F1174" i="2"/>
  <c r="E1174" i="2"/>
  <c r="F1173" i="2"/>
  <c r="E1173" i="2"/>
  <c r="F1172" i="2"/>
  <c r="E1172" i="2"/>
  <c r="F1171" i="2"/>
  <c r="E1171" i="2"/>
  <c r="F1170" i="2"/>
  <c r="E1170" i="2"/>
  <c r="F1169" i="2"/>
  <c r="E1169" i="2"/>
  <c r="F1168" i="2"/>
  <c r="E1168" i="2"/>
  <c r="F1167" i="2"/>
  <c r="E1167" i="2"/>
  <c r="F1166" i="2"/>
  <c r="E1166" i="2"/>
  <c r="F1165" i="2"/>
  <c r="E1165" i="2"/>
  <c r="F1164" i="2"/>
  <c r="E1164" i="2"/>
  <c r="F1163" i="2"/>
  <c r="E1163" i="2"/>
  <c r="F1162" i="2"/>
  <c r="E1162" i="2"/>
  <c r="F1161" i="2"/>
  <c r="E1161" i="2"/>
  <c r="F1160" i="2"/>
  <c r="E1160" i="2"/>
  <c r="F1159" i="2"/>
  <c r="E1159" i="2"/>
  <c r="F1158" i="2"/>
  <c r="E1158" i="2"/>
  <c r="F1157" i="2"/>
  <c r="E1157" i="2"/>
  <c r="F1156" i="2"/>
  <c r="E1156" i="2"/>
  <c r="F1155" i="2"/>
  <c r="E1155" i="2"/>
  <c r="F1154" i="2"/>
  <c r="E1154" i="2"/>
  <c r="F1153" i="2"/>
  <c r="E1153" i="2"/>
  <c r="F1152" i="2"/>
  <c r="E1152" i="2"/>
  <c r="F1151" i="2"/>
  <c r="E1151" i="2"/>
  <c r="F1150" i="2"/>
  <c r="E1150" i="2"/>
  <c r="F1149" i="2"/>
  <c r="E1149" i="2"/>
  <c r="F1148" i="2"/>
  <c r="E1148" i="2"/>
  <c r="F1147" i="2"/>
  <c r="E1147" i="2"/>
  <c r="F1146" i="2"/>
  <c r="E1146" i="2"/>
  <c r="F1145" i="2"/>
  <c r="E1145" i="2"/>
  <c r="F1144" i="2"/>
  <c r="E1144" i="2"/>
  <c r="F1143" i="2"/>
  <c r="E1143" i="2"/>
  <c r="F1142" i="2"/>
  <c r="E1142" i="2"/>
  <c r="F1141" i="2"/>
  <c r="E1141" i="2"/>
  <c r="F1140" i="2"/>
  <c r="E1140" i="2"/>
  <c r="F1139" i="2"/>
  <c r="E1139" i="2"/>
  <c r="F1138" i="2"/>
  <c r="E1138" i="2"/>
  <c r="F1137" i="2"/>
  <c r="E1137" i="2"/>
  <c r="F1136" i="2"/>
  <c r="E1136" i="2"/>
  <c r="F1135" i="2"/>
  <c r="E1135" i="2"/>
  <c r="F1134" i="2"/>
  <c r="E1134" i="2"/>
  <c r="F1133" i="2"/>
  <c r="E1133" i="2"/>
  <c r="F1132" i="2"/>
  <c r="E1132" i="2"/>
  <c r="F1131" i="2"/>
  <c r="E1131" i="2"/>
  <c r="F1130" i="2"/>
  <c r="E1130" i="2"/>
  <c r="F1129" i="2"/>
  <c r="E1129" i="2"/>
  <c r="F1128" i="2"/>
  <c r="E1128" i="2"/>
  <c r="F1127" i="2"/>
  <c r="E1127" i="2"/>
  <c r="F1126" i="2"/>
  <c r="E1126" i="2"/>
  <c r="F1125" i="2"/>
  <c r="E1125" i="2"/>
  <c r="F1124" i="2"/>
  <c r="E1124" i="2"/>
  <c r="F1123" i="2"/>
  <c r="E1123" i="2"/>
  <c r="F1122" i="2"/>
  <c r="E1122" i="2"/>
  <c r="F1121" i="2"/>
  <c r="E1121" i="2"/>
  <c r="F1120" i="2"/>
  <c r="E1120" i="2"/>
  <c r="F1119" i="2"/>
  <c r="E1119" i="2"/>
  <c r="F1118" i="2"/>
  <c r="E1118" i="2"/>
  <c r="F1117" i="2"/>
  <c r="E1117" i="2"/>
  <c r="F1116" i="2"/>
  <c r="E1116" i="2"/>
  <c r="F1115" i="2"/>
  <c r="E1115" i="2"/>
  <c r="F1114" i="2"/>
  <c r="E1114" i="2"/>
  <c r="F1113" i="2"/>
  <c r="E1113" i="2"/>
  <c r="F1112" i="2"/>
  <c r="E1112" i="2"/>
  <c r="F1111" i="2"/>
  <c r="E1111" i="2"/>
  <c r="F1110" i="2"/>
  <c r="E1110" i="2"/>
  <c r="F1109" i="2"/>
  <c r="E1109" i="2"/>
  <c r="F1108" i="2"/>
  <c r="E1108" i="2"/>
  <c r="F1107" i="2"/>
  <c r="E1107" i="2"/>
  <c r="F1106" i="2"/>
  <c r="E1106" i="2"/>
  <c r="F1105" i="2"/>
  <c r="E1105" i="2"/>
  <c r="F1104" i="2"/>
  <c r="E1104" i="2"/>
  <c r="F1103" i="2"/>
  <c r="E1103" i="2"/>
  <c r="F1102" i="2"/>
  <c r="E1102" i="2"/>
  <c r="F1101" i="2"/>
  <c r="E1101" i="2"/>
  <c r="F1100" i="2"/>
  <c r="E1100" i="2"/>
  <c r="F1099" i="2"/>
  <c r="E1099" i="2"/>
  <c r="F1098" i="2"/>
  <c r="E1098" i="2"/>
  <c r="F1097" i="2"/>
  <c r="E1097" i="2"/>
  <c r="F1096" i="2"/>
  <c r="E1096" i="2"/>
  <c r="F1095" i="2"/>
  <c r="E1095" i="2"/>
  <c r="F1094" i="2"/>
  <c r="E1094" i="2"/>
  <c r="F1093" i="2"/>
  <c r="E1093" i="2"/>
  <c r="F1092" i="2"/>
  <c r="E1092" i="2"/>
  <c r="F1091" i="2"/>
  <c r="E1091" i="2"/>
  <c r="F1090" i="2"/>
  <c r="E1090" i="2"/>
  <c r="F1089" i="2"/>
  <c r="E1089" i="2"/>
  <c r="F1088" i="2"/>
  <c r="E1088" i="2"/>
  <c r="F1087" i="2"/>
  <c r="E1087" i="2"/>
  <c r="F1086" i="2"/>
  <c r="E1086" i="2"/>
  <c r="F1085" i="2"/>
  <c r="E1085" i="2"/>
  <c r="F1084" i="2"/>
  <c r="E1084" i="2"/>
  <c r="F1083" i="2"/>
  <c r="E1083" i="2"/>
  <c r="F1082" i="2"/>
  <c r="E1082" i="2"/>
  <c r="F1081" i="2"/>
  <c r="E1081" i="2"/>
  <c r="F1080" i="2"/>
  <c r="E1080" i="2"/>
  <c r="F1079" i="2"/>
  <c r="E1079" i="2"/>
  <c r="F1078" i="2"/>
  <c r="E1078" i="2"/>
  <c r="F1077" i="2"/>
  <c r="E1077" i="2"/>
  <c r="F1076" i="2"/>
  <c r="E1076" i="2"/>
  <c r="F1075" i="2"/>
  <c r="E1075" i="2"/>
  <c r="F1074" i="2"/>
  <c r="E1074" i="2"/>
  <c r="F1073" i="2"/>
  <c r="E1073" i="2"/>
  <c r="F1072" i="2"/>
  <c r="E1072" i="2"/>
  <c r="F1071" i="2"/>
  <c r="E1071" i="2"/>
  <c r="F1070" i="2"/>
  <c r="E1070" i="2"/>
  <c r="F1069" i="2"/>
  <c r="E1069" i="2"/>
  <c r="F1068" i="2"/>
  <c r="E1068" i="2"/>
  <c r="F1067" i="2"/>
  <c r="E1067" i="2"/>
  <c r="F1066" i="2"/>
  <c r="E1066" i="2"/>
  <c r="F1065" i="2"/>
  <c r="E1065" i="2"/>
  <c r="F1064" i="2"/>
  <c r="E1064" i="2"/>
  <c r="F1063" i="2"/>
  <c r="E1063" i="2"/>
  <c r="F1062" i="2"/>
  <c r="E1062" i="2"/>
  <c r="F1061" i="2"/>
  <c r="E1061" i="2"/>
  <c r="F1060" i="2"/>
  <c r="E1060" i="2"/>
  <c r="F1059" i="2"/>
  <c r="E1059" i="2"/>
  <c r="F1058" i="2"/>
  <c r="E1058" i="2"/>
  <c r="F1057" i="2"/>
  <c r="E1057" i="2"/>
  <c r="F1056" i="2"/>
  <c r="E1056" i="2"/>
  <c r="F1055" i="2"/>
  <c r="E1055" i="2"/>
  <c r="F1054" i="2"/>
  <c r="E1054" i="2"/>
  <c r="F1053" i="2"/>
  <c r="E1053" i="2"/>
  <c r="F1052" i="2"/>
  <c r="E1052" i="2"/>
  <c r="F1051" i="2"/>
  <c r="E1051" i="2"/>
  <c r="F1050" i="2"/>
  <c r="E1050" i="2"/>
  <c r="F1049" i="2"/>
  <c r="E1049" i="2"/>
  <c r="F1048" i="2"/>
  <c r="E1048" i="2"/>
  <c r="F1047" i="2"/>
  <c r="E1047" i="2"/>
  <c r="F1046" i="2"/>
  <c r="E1046" i="2"/>
  <c r="F1045" i="2"/>
  <c r="E1045" i="2"/>
  <c r="F1044" i="2"/>
  <c r="E1044" i="2"/>
  <c r="F1043" i="2"/>
  <c r="E1043" i="2"/>
  <c r="F1042" i="2"/>
  <c r="E1042" i="2"/>
  <c r="F1041" i="2"/>
  <c r="E1041" i="2"/>
  <c r="F1040" i="2"/>
  <c r="E1040" i="2"/>
  <c r="F1039" i="2"/>
  <c r="E1039" i="2"/>
  <c r="F1038" i="2"/>
  <c r="E1038" i="2"/>
  <c r="F1037" i="2"/>
  <c r="E1037" i="2"/>
  <c r="F1036" i="2"/>
  <c r="E1036" i="2"/>
  <c r="F1035" i="2"/>
  <c r="E1035" i="2"/>
  <c r="F1034" i="2"/>
  <c r="E1034" i="2"/>
  <c r="F1033" i="2"/>
  <c r="E1033" i="2"/>
  <c r="F1032" i="2"/>
  <c r="E1032" i="2"/>
  <c r="F1031" i="2"/>
  <c r="E1031" i="2"/>
  <c r="F1030" i="2"/>
  <c r="E1030" i="2"/>
  <c r="F1029" i="2"/>
  <c r="E1029" i="2"/>
  <c r="F1028" i="2"/>
  <c r="E1028" i="2"/>
  <c r="F1027" i="2"/>
  <c r="E1027" i="2"/>
  <c r="F1026" i="2"/>
  <c r="E1026" i="2"/>
  <c r="F1025" i="2"/>
  <c r="E1025" i="2"/>
  <c r="F1024" i="2"/>
  <c r="E1024" i="2"/>
  <c r="F1023" i="2"/>
  <c r="E1023" i="2"/>
  <c r="F1022" i="2"/>
  <c r="E1022" i="2"/>
  <c r="F1021" i="2"/>
  <c r="E1021" i="2"/>
  <c r="F1020" i="2"/>
  <c r="E1020" i="2"/>
  <c r="F1019" i="2"/>
  <c r="E1019" i="2"/>
  <c r="F1018" i="2"/>
  <c r="E1018" i="2"/>
  <c r="F1017" i="2"/>
  <c r="E1017" i="2"/>
  <c r="F1016" i="2"/>
  <c r="E1016" i="2"/>
  <c r="F1015" i="2"/>
  <c r="E1015" i="2"/>
  <c r="F1014" i="2"/>
  <c r="E1014" i="2"/>
  <c r="F1013" i="2"/>
  <c r="E1013" i="2"/>
  <c r="F1012" i="2"/>
  <c r="E1012" i="2"/>
  <c r="F1011" i="2"/>
  <c r="E1011" i="2"/>
  <c r="F1010" i="2"/>
  <c r="E1010" i="2"/>
  <c r="F1009" i="2"/>
  <c r="E1009" i="2"/>
  <c r="F1008" i="2"/>
  <c r="E1008" i="2"/>
  <c r="F1007" i="2"/>
  <c r="E1007" i="2"/>
  <c r="F1006" i="2"/>
  <c r="E1006" i="2"/>
  <c r="F1005" i="2"/>
  <c r="E1005" i="2"/>
  <c r="F1004" i="2"/>
  <c r="E1004" i="2"/>
  <c r="F1003" i="2"/>
  <c r="E1003" i="2"/>
  <c r="F1002" i="2"/>
  <c r="E1002" i="2"/>
  <c r="F1001" i="2"/>
  <c r="E1001" i="2"/>
  <c r="F1000" i="2"/>
  <c r="E1000" i="2"/>
  <c r="F999" i="2"/>
  <c r="E999" i="2"/>
  <c r="F998" i="2"/>
  <c r="E998" i="2"/>
  <c r="F997" i="2"/>
  <c r="E997" i="2"/>
  <c r="F996" i="2"/>
  <c r="E996" i="2"/>
  <c r="F995" i="2"/>
  <c r="E995" i="2"/>
  <c r="F994" i="2"/>
  <c r="E994" i="2"/>
  <c r="F993" i="2"/>
  <c r="E993" i="2"/>
  <c r="F992" i="2"/>
  <c r="E992" i="2"/>
  <c r="F991" i="2"/>
  <c r="E991" i="2"/>
  <c r="F990" i="2"/>
  <c r="E990" i="2"/>
  <c r="F989" i="2"/>
  <c r="E989" i="2"/>
  <c r="F988" i="2"/>
  <c r="E988" i="2"/>
  <c r="F987" i="2"/>
  <c r="E987" i="2"/>
  <c r="F986" i="2"/>
  <c r="E986" i="2"/>
  <c r="F985" i="2"/>
  <c r="E985" i="2"/>
  <c r="F984" i="2"/>
  <c r="E984" i="2"/>
  <c r="F983" i="2"/>
  <c r="E983" i="2"/>
  <c r="F982" i="2"/>
  <c r="E982" i="2"/>
  <c r="F981" i="2"/>
  <c r="E981" i="2"/>
  <c r="F980" i="2"/>
  <c r="E980" i="2"/>
  <c r="F979" i="2"/>
  <c r="E979" i="2"/>
  <c r="F978" i="2"/>
  <c r="E978" i="2"/>
  <c r="F977" i="2"/>
  <c r="E977" i="2"/>
  <c r="F976" i="2"/>
  <c r="E976" i="2"/>
  <c r="F975" i="2"/>
  <c r="E975" i="2"/>
  <c r="F974" i="2"/>
  <c r="E974" i="2"/>
  <c r="F973" i="2"/>
  <c r="E973" i="2"/>
  <c r="F972" i="2"/>
  <c r="E972" i="2"/>
  <c r="F971" i="2"/>
  <c r="E971" i="2"/>
  <c r="F970" i="2"/>
  <c r="E970" i="2"/>
  <c r="F969" i="2"/>
  <c r="E969" i="2"/>
  <c r="F968" i="2"/>
  <c r="E968" i="2"/>
  <c r="F967" i="2"/>
  <c r="E967" i="2"/>
  <c r="F966" i="2"/>
  <c r="E966" i="2"/>
  <c r="F965" i="2"/>
  <c r="E965" i="2"/>
  <c r="F964" i="2"/>
  <c r="E964" i="2"/>
  <c r="F963" i="2"/>
  <c r="E963" i="2"/>
  <c r="F962" i="2"/>
  <c r="E962" i="2"/>
  <c r="F961" i="2"/>
  <c r="E961" i="2"/>
  <c r="F960" i="2"/>
  <c r="E960" i="2"/>
  <c r="F959" i="2"/>
  <c r="E959" i="2"/>
  <c r="F958" i="2"/>
  <c r="E958" i="2"/>
  <c r="F957" i="2"/>
  <c r="E957" i="2"/>
  <c r="F956" i="2"/>
  <c r="E956" i="2"/>
  <c r="F955" i="2"/>
  <c r="E955" i="2"/>
  <c r="F954" i="2"/>
  <c r="E954" i="2"/>
  <c r="F953" i="2"/>
  <c r="E953" i="2"/>
  <c r="F952" i="2"/>
  <c r="E952" i="2"/>
  <c r="F951" i="2"/>
  <c r="E951" i="2"/>
  <c r="F950" i="2"/>
  <c r="E950" i="2"/>
  <c r="F949" i="2"/>
  <c r="E949" i="2"/>
  <c r="F948" i="2"/>
  <c r="E948" i="2"/>
  <c r="F947" i="2"/>
  <c r="E947" i="2"/>
  <c r="F946" i="2"/>
  <c r="E946" i="2"/>
  <c r="F945" i="2"/>
  <c r="E945" i="2"/>
  <c r="F944" i="2"/>
  <c r="E944" i="2"/>
  <c r="F943" i="2"/>
  <c r="E943" i="2"/>
  <c r="F942" i="2"/>
  <c r="E942" i="2"/>
  <c r="F941" i="2"/>
  <c r="E941" i="2"/>
  <c r="F940" i="2"/>
  <c r="E940" i="2"/>
  <c r="F939" i="2"/>
  <c r="E939" i="2"/>
  <c r="F938" i="2"/>
  <c r="E938" i="2"/>
  <c r="F937" i="2"/>
  <c r="E937" i="2"/>
  <c r="F936" i="2"/>
  <c r="E936" i="2"/>
  <c r="F935" i="2"/>
  <c r="E935" i="2"/>
  <c r="F934" i="2"/>
  <c r="E934" i="2"/>
  <c r="F933" i="2"/>
  <c r="E933" i="2"/>
  <c r="F932" i="2"/>
  <c r="E932" i="2"/>
  <c r="F931" i="2"/>
  <c r="E931" i="2"/>
  <c r="F930" i="2"/>
  <c r="E930" i="2"/>
  <c r="F929" i="2"/>
  <c r="E929" i="2"/>
  <c r="F928" i="2"/>
  <c r="E928" i="2"/>
  <c r="F927" i="2"/>
  <c r="E927" i="2"/>
  <c r="F926" i="2"/>
  <c r="E926" i="2"/>
  <c r="F925" i="2"/>
  <c r="E925" i="2"/>
  <c r="F924" i="2"/>
  <c r="E924" i="2"/>
  <c r="F923" i="2"/>
  <c r="E923" i="2"/>
  <c r="F922" i="2"/>
  <c r="E922" i="2"/>
  <c r="F921" i="2"/>
  <c r="E921" i="2"/>
  <c r="F920" i="2"/>
  <c r="E920" i="2"/>
  <c r="F919" i="2"/>
  <c r="E919" i="2"/>
  <c r="F918" i="2"/>
  <c r="E918" i="2"/>
  <c r="F917" i="2"/>
  <c r="E917" i="2"/>
  <c r="F916" i="2"/>
  <c r="E916" i="2"/>
  <c r="F915" i="2"/>
  <c r="E915" i="2"/>
  <c r="F914" i="2"/>
  <c r="E914" i="2"/>
  <c r="F913" i="2"/>
  <c r="E913" i="2"/>
  <c r="F912" i="2"/>
  <c r="E912" i="2"/>
  <c r="F911" i="2"/>
  <c r="E911" i="2"/>
  <c r="F910" i="2"/>
  <c r="E910" i="2"/>
  <c r="F909" i="2"/>
  <c r="E909" i="2"/>
  <c r="F908" i="2"/>
  <c r="E908" i="2"/>
  <c r="F907" i="2"/>
  <c r="E907" i="2"/>
  <c r="F906" i="2"/>
  <c r="E906" i="2"/>
  <c r="F905" i="2"/>
  <c r="E905" i="2"/>
  <c r="F904" i="2"/>
  <c r="E904" i="2"/>
  <c r="F903" i="2"/>
  <c r="E903" i="2"/>
  <c r="F902" i="2"/>
  <c r="E902" i="2"/>
  <c r="F901" i="2"/>
  <c r="E901" i="2"/>
  <c r="F900" i="2"/>
  <c r="E900" i="2"/>
  <c r="F899" i="2"/>
  <c r="E899" i="2"/>
  <c r="F898" i="2"/>
  <c r="E898" i="2"/>
  <c r="F897" i="2"/>
  <c r="E897" i="2"/>
  <c r="F896" i="2"/>
  <c r="E896" i="2"/>
  <c r="F895" i="2"/>
  <c r="E895" i="2"/>
  <c r="F894" i="2"/>
  <c r="E894" i="2"/>
  <c r="F893" i="2"/>
  <c r="E893" i="2"/>
  <c r="F892" i="2"/>
  <c r="E892" i="2"/>
  <c r="F891" i="2"/>
  <c r="E891" i="2"/>
  <c r="F890" i="2"/>
  <c r="E890" i="2"/>
  <c r="F889" i="2"/>
  <c r="E889" i="2"/>
  <c r="F888" i="2"/>
  <c r="E888" i="2"/>
  <c r="F887" i="2"/>
  <c r="E887" i="2"/>
  <c r="F886" i="2"/>
  <c r="E886" i="2"/>
  <c r="F885" i="2"/>
  <c r="E885" i="2"/>
  <c r="F884" i="2"/>
  <c r="E884" i="2"/>
  <c r="F883" i="2"/>
  <c r="E883" i="2"/>
  <c r="F882" i="2"/>
  <c r="E882" i="2"/>
  <c r="F881" i="2"/>
  <c r="E881" i="2"/>
  <c r="F880" i="2"/>
  <c r="E880" i="2"/>
  <c r="F879" i="2"/>
  <c r="E879" i="2"/>
  <c r="F878" i="2"/>
  <c r="E878" i="2"/>
  <c r="F877" i="2"/>
  <c r="E877" i="2"/>
  <c r="F876" i="2"/>
  <c r="E876" i="2"/>
  <c r="F875" i="2"/>
  <c r="E875" i="2"/>
  <c r="F874" i="2"/>
  <c r="E874" i="2"/>
  <c r="F873" i="2"/>
  <c r="E873" i="2"/>
  <c r="F872" i="2"/>
  <c r="E872" i="2"/>
  <c r="F871" i="2"/>
  <c r="E871" i="2"/>
  <c r="F870" i="2"/>
  <c r="E870" i="2"/>
  <c r="F869" i="2"/>
  <c r="E869" i="2"/>
  <c r="F868" i="2"/>
  <c r="E868" i="2"/>
  <c r="F867" i="2"/>
  <c r="E867" i="2"/>
  <c r="F866" i="2"/>
  <c r="E866" i="2"/>
  <c r="F865" i="2"/>
  <c r="E865" i="2"/>
  <c r="F864" i="2"/>
  <c r="E864" i="2"/>
  <c r="F863" i="2"/>
  <c r="E863" i="2"/>
  <c r="F862" i="2"/>
  <c r="E862" i="2"/>
  <c r="F861" i="2"/>
  <c r="E861" i="2"/>
  <c r="F860" i="2"/>
  <c r="E860" i="2"/>
  <c r="F859" i="2"/>
  <c r="E859" i="2"/>
  <c r="F858" i="2"/>
  <c r="E858" i="2"/>
  <c r="F857" i="2"/>
  <c r="E857" i="2"/>
  <c r="F856" i="2"/>
  <c r="E856" i="2"/>
  <c r="F855" i="2"/>
  <c r="E855" i="2"/>
  <c r="F854" i="2"/>
  <c r="E854" i="2"/>
  <c r="F853" i="2"/>
  <c r="E853" i="2"/>
  <c r="F852" i="2"/>
  <c r="E852" i="2"/>
  <c r="F851" i="2"/>
  <c r="E851" i="2"/>
  <c r="F850" i="2"/>
  <c r="E850" i="2"/>
  <c r="F849" i="2"/>
  <c r="E849" i="2"/>
  <c r="F848" i="2"/>
  <c r="E848" i="2"/>
  <c r="F847" i="2"/>
  <c r="E847" i="2"/>
  <c r="F846" i="2"/>
  <c r="E846" i="2"/>
  <c r="F845" i="2"/>
  <c r="E845" i="2"/>
  <c r="F844" i="2"/>
  <c r="E844" i="2"/>
  <c r="F843" i="2"/>
  <c r="E843" i="2"/>
  <c r="F842" i="2"/>
  <c r="E842" i="2"/>
  <c r="F841" i="2"/>
  <c r="E841" i="2"/>
  <c r="F840" i="2"/>
  <c r="E840" i="2"/>
  <c r="F839" i="2"/>
  <c r="E839" i="2"/>
  <c r="F838" i="2"/>
  <c r="E838" i="2"/>
  <c r="F837" i="2"/>
  <c r="E837" i="2"/>
  <c r="F836" i="2"/>
  <c r="E836" i="2"/>
  <c r="F835" i="2"/>
  <c r="E835" i="2"/>
  <c r="F834" i="2"/>
  <c r="E834" i="2"/>
  <c r="F833" i="2"/>
  <c r="E833" i="2"/>
  <c r="F832" i="2"/>
  <c r="E832" i="2"/>
  <c r="F831" i="2"/>
  <c r="E831" i="2"/>
  <c r="F830" i="2"/>
  <c r="E830" i="2"/>
  <c r="F829" i="2"/>
  <c r="E829" i="2"/>
  <c r="F828" i="2"/>
  <c r="E828" i="2"/>
  <c r="F827" i="2"/>
  <c r="E827" i="2"/>
  <c r="F826" i="2"/>
  <c r="E826" i="2"/>
  <c r="F825" i="2"/>
  <c r="E825" i="2"/>
  <c r="F824" i="2"/>
  <c r="E824" i="2"/>
  <c r="F823" i="2"/>
  <c r="E823" i="2"/>
  <c r="F822" i="2"/>
  <c r="E822" i="2"/>
  <c r="F821" i="2"/>
  <c r="E821" i="2"/>
  <c r="F820" i="2"/>
  <c r="E820" i="2"/>
  <c r="F819" i="2"/>
  <c r="E819" i="2"/>
  <c r="F818" i="2"/>
  <c r="E818" i="2"/>
  <c r="F817" i="2"/>
  <c r="E817" i="2"/>
  <c r="F816" i="2"/>
  <c r="E816" i="2"/>
  <c r="F815" i="2"/>
  <c r="E815" i="2"/>
  <c r="F814" i="2"/>
  <c r="E814" i="2"/>
  <c r="F813" i="2"/>
  <c r="E813" i="2"/>
  <c r="F812" i="2"/>
  <c r="E812" i="2"/>
  <c r="F811" i="2"/>
  <c r="E811" i="2"/>
  <c r="F810" i="2"/>
  <c r="E810" i="2"/>
  <c r="F809" i="2"/>
  <c r="E809" i="2"/>
  <c r="F808" i="2"/>
  <c r="E808" i="2"/>
  <c r="F807" i="2"/>
  <c r="E807" i="2"/>
  <c r="F806" i="2"/>
  <c r="E806" i="2"/>
  <c r="F805" i="2"/>
  <c r="E805" i="2"/>
  <c r="F804" i="2"/>
  <c r="E804" i="2"/>
  <c r="F803" i="2"/>
  <c r="E803" i="2"/>
  <c r="F802" i="2"/>
  <c r="E802" i="2"/>
  <c r="F801" i="2"/>
  <c r="E801" i="2"/>
  <c r="F800" i="2"/>
  <c r="E800" i="2"/>
  <c r="F799" i="2"/>
  <c r="E799" i="2"/>
  <c r="F798" i="2"/>
  <c r="E798" i="2"/>
  <c r="F797" i="2"/>
  <c r="E797" i="2"/>
  <c r="F796" i="2"/>
  <c r="E796" i="2"/>
  <c r="F795" i="2"/>
  <c r="E795" i="2"/>
  <c r="F794" i="2"/>
  <c r="E794" i="2"/>
  <c r="F793" i="2"/>
  <c r="E793" i="2"/>
  <c r="F792" i="2"/>
  <c r="E792" i="2"/>
  <c r="F791" i="2"/>
  <c r="E791" i="2"/>
  <c r="F790" i="2"/>
  <c r="E790" i="2"/>
  <c r="F789" i="2"/>
  <c r="E789" i="2"/>
  <c r="F788" i="2"/>
  <c r="E788" i="2"/>
  <c r="F787" i="2"/>
  <c r="E787" i="2"/>
  <c r="F786" i="2"/>
  <c r="E786" i="2"/>
  <c r="F785" i="2"/>
  <c r="E785" i="2"/>
  <c r="F784" i="2"/>
  <c r="E784" i="2"/>
  <c r="F783" i="2"/>
  <c r="E783" i="2"/>
  <c r="F782" i="2"/>
  <c r="E782" i="2"/>
  <c r="F781" i="2"/>
  <c r="E781" i="2"/>
  <c r="F780" i="2"/>
  <c r="E780" i="2"/>
  <c r="F779" i="2"/>
  <c r="E779" i="2"/>
  <c r="F778" i="2"/>
  <c r="E778" i="2"/>
  <c r="F777" i="2"/>
  <c r="E777" i="2"/>
  <c r="F776" i="2"/>
  <c r="E776" i="2"/>
  <c r="F775" i="2"/>
  <c r="E775" i="2"/>
  <c r="F774" i="2"/>
  <c r="E774" i="2"/>
  <c r="F773" i="2"/>
  <c r="E773" i="2"/>
  <c r="F772" i="2"/>
  <c r="E772" i="2"/>
  <c r="F771" i="2"/>
  <c r="E771" i="2"/>
  <c r="F770" i="2"/>
  <c r="E770" i="2"/>
  <c r="F769" i="2"/>
  <c r="E769" i="2"/>
  <c r="F768" i="2"/>
  <c r="E768" i="2"/>
  <c r="F767" i="2"/>
  <c r="E767" i="2"/>
  <c r="F766" i="2"/>
  <c r="E766" i="2"/>
  <c r="F765" i="2"/>
  <c r="E765" i="2"/>
  <c r="F764" i="2"/>
  <c r="E764" i="2"/>
  <c r="F763" i="2"/>
  <c r="E763" i="2"/>
  <c r="F762" i="2"/>
  <c r="E762" i="2"/>
  <c r="F761" i="2"/>
  <c r="E761" i="2"/>
  <c r="F760" i="2"/>
  <c r="E760" i="2"/>
  <c r="F759" i="2"/>
  <c r="E759" i="2"/>
  <c r="F758" i="2"/>
  <c r="E758" i="2"/>
  <c r="F757" i="2"/>
  <c r="E757" i="2"/>
  <c r="F756" i="2"/>
  <c r="E756" i="2"/>
  <c r="F755" i="2"/>
  <c r="E755" i="2"/>
  <c r="F754" i="2"/>
  <c r="E754" i="2"/>
  <c r="F753" i="2"/>
  <c r="E753" i="2"/>
  <c r="F752" i="2"/>
  <c r="E752" i="2"/>
  <c r="F751" i="2"/>
  <c r="E751" i="2"/>
  <c r="F750" i="2"/>
  <c r="E750" i="2"/>
  <c r="F749" i="2"/>
  <c r="E749" i="2"/>
  <c r="F748" i="2"/>
  <c r="E748" i="2"/>
  <c r="F747" i="2"/>
  <c r="E747" i="2"/>
  <c r="F746" i="2"/>
  <c r="E746" i="2"/>
  <c r="F745" i="2"/>
  <c r="E745" i="2"/>
  <c r="F744" i="2"/>
  <c r="E744" i="2"/>
  <c r="F743" i="2"/>
  <c r="E743" i="2"/>
  <c r="F742" i="2"/>
  <c r="E742" i="2"/>
  <c r="F741" i="2"/>
  <c r="E741" i="2"/>
  <c r="F740" i="2"/>
  <c r="E740" i="2"/>
  <c r="F739" i="2"/>
  <c r="E739" i="2"/>
  <c r="F738" i="2"/>
  <c r="E738" i="2"/>
  <c r="F737" i="2"/>
  <c r="E737" i="2"/>
  <c r="F736" i="2"/>
  <c r="E736" i="2"/>
  <c r="F735" i="2"/>
  <c r="E735" i="2"/>
  <c r="F734" i="2"/>
  <c r="E734" i="2"/>
  <c r="F733" i="2"/>
  <c r="E733" i="2"/>
  <c r="F732" i="2"/>
  <c r="E732" i="2"/>
  <c r="F731" i="2"/>
  <c r="E731" i="2"/>
  <c r="F730" i="2"/>
  <c r="E730" i="2"/>
  <c r="F729" i="2"/>
  <c r="E729" i="2"/>
  <c r="F728" i="2"/>
  <c r="E728" i="2"/>
  <c r="F727" i="2"/>
  <c r="E727" i="2"/>
  <c r="F726" i="2"/>
  <c r="E726" i="2"/>
  <c r="F725" i="2"/>
  <c r="E725" i="2"/>
  <c r="F724" i="2"/>
  <c r="E724" i="2"/>
  <c r="F723" i="2"/>
  <c r="E723" i="2"/>
  <c r="F722" i="2"/>
  <c r="E722" i="2"/>
  <c r="F721" i="2"/>
  <c r="E721" i="2"/>
  <c r="F720" i="2"/>
  <c r="E720" i="2"/>
  <c r="F719" i="2"/>
  <c r="E719" i="2"/>
  <c r="F718" i="2"/>
  <c r="E718" i="2"/>
  <c r="F717" i="2"/>
  <c r="E717" i="2"/>
  <c r="F716" i="2"/>
  <c r="E716" i="2"/>
  <c r="F715" i="2"/>
  <c r="E715" i="2"/>
  <c r="F714" i="2"/>
  <c r="E714" i="2"/>
  <c r="F713" i="2"/>
  <c r="E713" i="2"/>
  <c r="F712" i="2"/>
  <c r="E712" i="2"/>
  <c r="F711" i="2"/>
  <c r="E711" i="2"/>
  <c r="F710" i="2"/>
  <c r="E710" i="2"/>
  <c r="F709" i="2"/>
  <c r="E709" i="2"/>
  <c r="F708" i="2"/>
  <c r="E708" i="2"/>
  <c r="F707" i="2"/>
  <c r="E707" i="2"/>
  <c r="F706" i="2"/>
  <c r="E706" i="2"/>
  <c r="F705" i="2"/>
  <c r="E705" i="2"/>
  <c r="F704" i="2"/>
  <c r="E704" i="2"/>
  <c r="F703" i="2"/>
  <c r="E703" i="2"/>
  <c r="F702" i="2"/>
  <c r="E702" i="2"/>
  <c r="F701" i="2"/>
  <c r="E701" i="2"/>
  <c r="F700" i="2"/>
  <c r="E700" i="2"/>
  <c r="F699" i="2"/>
  <c r="E699" i="2"/>
  <c r="F698" i="2"/>
  <c r="E698" i="2"/>
  <c r="F697" i="2"/>
  <c r="E697" i="2"/>
  <c r="F696" i="2"/>
  <c r="E696" i="2"/>
  <c r="F695" i="2"/>
  <c r="E695" i="2"/>
  <c r="F694" i="2"/>
  <c r="E694" i="2"/>
  <c r="F693" i="2"/>
  <c r="E693" i="2"/>
  <c r="F692" i="2"/>
  <c r="E692" i="2"/>
  <c r="F691" i="2"/>
  <c r="E691" i="2"/>
  <c r="F690" i="2"/>
  <c r="E690" i="2"/>
  <c r="F689" i="2"/>
  <c r="E689" i="2"/>
  <c r="F688" i="2"/>
  <c r="E688" i="2"/>
  <c r="F687" i="2"/>
  <c r="E687" i="2"/>
  <c r="F686" i="2"/>
  <c r="E686" i="2"/>
  <c r="F685" i="2"/>
  <c r="E685" i="2"/>
  <c r="F684" i="2"/>
  <c r="E684" i="2"/>
  <c r="F683" i="2"/>
  <c r="E683" i="2"/>
  <c r="F682" i="2"/>
  <c r="E682" i="2"/>
  <c r="F681" i="2"/>
  <c r="E681" i="2"/>
  <c r="F680" i="2"/>
  <c r="E680" i="2"/>
  <c r="F679" i="2"/>
  <c r="E679" i="2"/>
  <c r="F678" i="2"/>
  <c r="E678" i="2"/>
  <c r="F677" i="2"/>
  <c r="E677" i="2"/>
  <c r="F676" i="2"/>
  <c r="E676" i="2"/>
  <c r="F675" i="2"/>
  <c r="E675" i="2"/>
  <c r="F674" i="2"/>
  <c r="E674" i="2"/>
  <c r="F673" i="2"/>
  <c r="E673" i="2"/>
  <c r="F672" i="2"/>
  <c r="E672" i="2"/>
  <c r="F671" i="2"/>
  <c r="E671" i="2"/>
  <c r="F670" i="2"/>
  <c r="E670" i="2"/>
  <c r="F669" i="2"/>
  <c r="E669" i="2"/>
  <c r="F668" i="2"/>
  <c r="E668" i="2"/>
  <c r="F667" i="2"/>
  <c r="E667" i="2"/>
  <c r="F666" i="2"/>
  <c r="E666" i="2"/>
  <c r="F665" i="2"/>
  <c r="E665" i="2"/>
  <c r="F664" i="2"/>
  <c r="E664" i="2"/>
  <c r="F663" i="2"/>
  <c r="E663" i="2"/>
  <c r="F662" i="2"/>
  <c r="E662" i="2"/>
  <c r="F661" i="2"/>
  <c r="E661" i="2"/>
  <c r="F660" i="2"/>
  <c r="E660" i="2"/>
  <c r="F659" i="2"/>
  <c r="E659" i="2"/>
  <c r="F658" i="2"/>
  <c r="E658" i="2"/>
  <c r="F657" i="2"/>
  <c r="E657" i="2"/>
  <c r="F656" i="2"/>
  <c r="E656" i="2"/>
  <c r="F655" i="2"/>
  <c r="E655" i="2"/>
  <c r="F654" i="2"/>
  <c r="E654" i="2"/>
  <c r="F653" i="2"/>
  <c r="E653" i="2"/>
  <c r="F652" i="2"/>
  <c r="E652" i="2"/>
  <c r="F651" i="2"/>
  <c r="E651" i="2"/>
  <c r="F650" i="2"/>
  <c r="E650" i="2"/>
  <c r="F649" i="2"/>
  <c r="E649" i="2"/>
  <c r="F648" i="2"/>
  <c r="E648" i="2"/>
  <c r="F647" i="2"/>
  <c r="E647" i="2"/>
  <c r="F646" i="2"/>
  <c r="E646" i="2"/>
  <c r="F645" i="2"/>
  <c r="E645" i="2"/>
  <c r="F644" i="2"/>
  <c r="E644" i="2"/>
  <c r="F643" i="2"/>
  <c r="E643" i="2"/>
  <c r="F642" i="2"/>
  <c r="E642" i="2"/>
  <c r="F641" i="2"/>
  <c r="E641" i="2"/>
  <c r="F640" i="2"/>
  <c r="E640" i="2"/>
  <c r="F639" i="2"/>
  <c r="E639" i="2"/>
  <c r="F638" i="2"/>
  <c r="E638" i="2"/>
  <c r="F637" i="2"/>
  <c r="E637" i="2"/>
  <c r="F636" i="2"/>
  <c r="E636" i="2"/>
  <c r="F635" i="2"/>
  <c r="E635" i="2"/>
  <c r="F634" i="2"/>
  <c r="E634" i="2"/>
  <c r="F633" i="2"/>
  <c r="E633" i="2"/>
  <c r="F632" i="2"/>
  <c r="E632" i="2"/>
  <c r="F631" i="2"/>
  <c r="E631" i="2"/>
  <c r="F630" i="2"/>
  <c r="E630" i="2"/>
  <c r="F629" i="2"/>
  <c r="E629" i="2"/>
  <c r="F628" i="2"/>
  <c r="E628" i="2"/>
  <c r="F627" i="2"/>
  <c r="E627" i="2"/>
  <c r="F626" i="2"/>
  <c r="E626" i="2"/>
  <c r="F625" i="2"/>
  <c r="E625" i="2"/>
  <c r="F624" i="2"/>
  <c r="E624" i="2"/>
  <c r="F623" i="2"/>
  <c r="E623" i="2"/>
  <c r="F622" i="2"/>
  <c r="E622" i="2"/>
  <c r="F621" i="2"/>
  <c r="E621" i="2"/>
  <c r="F620" i="2"/>
  <c r="E620" i="2"/>
  <c r="F619" i="2"/>
  <c r="E619" i="2"/>
  <c r="F618" i="2"/>
  <c r="E618" i="2"/>
  <c r="F617" i="2"/>
  <c r="E617" i="2"/>
  <c r="F616" i="2"/>
  <c r="E616" i="2"/>
  <c r="F615" i="2"/>
  <c r="E615" i="2"/>
  <c r="F614" i="2"/>
  <c r="E614" i="2"/>
  <c r="F613" i="2"/>
  <c r="E613" i="2"/>
  <c r="F612" i="2"/>
  <c r="E612" i="2"/>
  <c r="F611" i="2"/>
  <c r="E611" i="2"/>
  <c r="F610" i="2"/>
  <c r="E610" i="2"/>
  <c r="F609" i="2"/>
  <c r="E609" i="2"/>
  <c r="F608" i="2"/>
  <c r="E608" i="2"/>
  <c r="F607" i="2"/>
  <c r="E607" i="2"/>
  <c r="F606" i="2"/>
  <c r="E606" i="2"/>
  <c r="F605" i="2"/>
  <c r="E605" i="2"/>
  <c r="F604" i="2"/>
  <c r="E604" i="2"/>
  <c r="F603" i="2"/>
  <c r="E603" i="2"/>
  <c r="F602" i="2"/>
  <c r="E602" i="2"/>
  <c r="F601" i="2"/>
  <c r="E601" i="2"/>
  <c r="F600" i="2"/>
  <c r="E600" i="2"/>
  <c r="F599" i="2"/>
  <c r="E599" i="2"/>
  <c r="F598" i="2"/>
  <c r="E598" i="2"/>
  <c r="F597" i="2"/>
  <c r="E597" i="2"/>
  <c r="F596" i="2"/>
  <c r="E596" i="2"/>
  <c r="F595" i="2"/>
  <c r="E595" i="2"/>
  <c r="F594" i="2"/>
  <c r="E594" i="2"/>
  <c r="F593" i="2"/>
  <c r="E593" i="2"/>
  <c r="F592" i="2"/>
  <c r="E592" i="2"/>
  <c r="F591" i="2"/>
  <c r="E591" i="2"/>
  <c r="F590" i="2"/>
  <c r="E590" i="2"/>
  <c r="F589" i="2"/>
  <c r="E589" i="2"/>
  <c r="F588" i="2"/>
  <c r="E588" i="2"/>
  <c r="F587" i="2"/>
  <c r="E587" i="2"/>
  <c r="F586" i="2"/>
  <c r="E586" i="2"/>
  <c r="F585" i="2"/>
  <c r="E585" i="2"/>
  <c r="F584" i="2"/>
  <c r="E584" i="2"/>
  <c r="F583" i="2"/>
  <c r="E583" i="2"/>
  <c r="F582" i="2"/>
  <c r="E582" i="2"/>
  <c r="F581" i="2"/>
  <c r="E581" i="2"/>
  <c r="F580" i="2"/>
  <c r="E580" i="2"/>
  <c r="F579" i="2"/>
  <c r="E579" i="2"/>
  <c r="F578" i="2"/>
  <c r="E578" i="2"/>
  <c r="F577" i="2"/>
  <c r="E577" i="2"/>
  <c r="F576" i="2"/>
  <c r="E576" i="2"/>
  <c r="F575" i="2"/>
  <c r="E575" i="2"/>
  <c r="F574" i="2"/>
  <c r="E574" i="2"/>
  <c r="F573" i="2"/>
  <c r="E573" i="2"/>
  <c r="F572" i="2"/>
  <c r="E572" i="2"/>
  <c r="F571" i="2"/>
  <c r="E571" i="2"/>
  <c r="F570" i="2"/>
  <c r="E570" i="2"/>
  <c r="F569" i="2"/>
  <c r="E569" i="2"/>
  <c r="F568" i="2"/>
  <c r="E568" i="2"/>
  <c r="F567" i="2"/>
  <c r="E567" i="2"/>
  <c r="F566" i="2"/>
  <c r="E566" i="2"/>
  <c r="F565" i="2"/>
  <c r="E565" i="2"/>
  <c r="F564" i="2"/>
  <c r="E564" i="2"/>
  <c r="F563" i="2"/>
  <c r="E563" i="2"/>
  <c r="F562" i="2"/>
  <c r="E562" i="2"/>
  <c r="F561" i="2"/>
  <c r="E561" i="2"/>
  <c r="F560" i="2"/>
  <c r="E560" i="2"/>
  <c r="F559" i="2"/>
  <c r="E559" i="2"/>
  <c r="F558" i="2"/>
  <c r="E558" i="2"/>
  <c r="F557" i="2"/>
  <c r="E557" i="2"/>
  <c r="F556" i="2"/>
  <c r="E556" i="2"/>
  <c r="F555" i="2"/>
  <c r="E555" i="2"/>
  <c r="F554" i="2"/>
  <c r="E554" i="2"/>
  <c r="F553" i="2"/>
  <c r="E553" i="2"/>
  <c r="F552" i="2"/>
  <c r="E552" i="2"/>
  <c r="F551" i="2"/>
  <c r="E551" i="2"/>
  <c r="F550" i="2"/>
  <c r="E550" i="2"/>
  <c r="F549" i="2"/>
  <c r="E549" i="2"/>
  <c r="F548" i="2"/>
  <c r="E548" i="2"/>
  <c r="F547" i="2"/>
  <c r="E547" i="2"/>
  <c r="F546" i="2"/>
  <c r="E546" i="2"/>
  <c r="F545" i="2"/>
  <c r="E545" i="2"/>
  <c r="F544" i="2"/>
  <c r="E544" i="2"/>
  <c r="F543" i="2"/>
  <c r="E543" i="2"/>
  <c r="F542" i="2"/>
  <c r="E542" i="2"/>
  <c r="F541" i="2"/>
  <c r="E541" i="2"/>
  <c r="F540" i="2"/>
  <c r="E540" i="2"/>
  <c r="F539" i="2"/>
  <c r="E539" i="2"/>
  <c r="F538" i="2"/>
  <c r="E538" i="2"/>
  <c r="F537" i="2"/>
  <c r="E537" i="2"/>
  <c r="F536" i="2"/>
  <c r="E536" i="2"/>
  <c r="F535" i="2"/>
  <c r="E535" i="2"/>
  <c r="F534" i="2"/>
  <c r="E534" i="2"/>
  <c r="F533" i="2"/>
  <c r="E533" i="2"/>
  <c r="F532" i="2"/>
  <c r="E532" i="2"/>
  <c r="F531" i="2"/>
  <c r="E531" i="2"/>
  <c r="F530" i="2"/>
  <c r="E530" i="2"/>
  <c r="F529" i="2"/>
  <c r="E529" i="2"/>
  <c r="F528" i="2"/>
  <c r="E528" i="2"/>
  <c r="F527" i="2"/>
  <c r="E527" i="2"/>
  <c r="F526" i="2"/>
  <c r="E526" i="2"/>
  <c r="F525" i="2"/>
  <c r="E525" i="2"/>
  <c r="F524" i="2"/>
  <c r="E524" i="2"/>
  <c r="F523" i="2"/>
  <c r="E523" i="2"/>
  <c r="F522" i="2"/>
  <c r="E522" i="2"/>
  <c r="F521" i="2"/>
  <c r="E521" i="2"/>
  <c r="F520" i="2"/>
  <c r="E520" i="2"/>
  <c r="F519" i="2"/>
  <c r="E519" i="2"/>
  <c r="F518" i="2"/>
  <c r="E518" i="2"/>
  <c r="F517" i="2"/>
  <c r="E517" i="2"/>
  <c r="F516" i="2"/>
  <c r="E516" i="2"/>
  <c r="F515" i="2"/>
  <c r="E515" i="2"/>
  <c r="F514" i="2"/>
  <c r="E514" i="2"/>
  <c r="F513" i="2"/>
  <c r="E513" i="2"/>
  <c r="F512" i="2"/>
  <c r="E512" i="2"/>
  <c r="F511" i="2"/>
  <c r="E511" i="2"/>
  <c r="F510" i="2"/>
  <c r="E510" i="2"/>
  <c r="F509" i="2"/>
  <c r="E509" i="2"/>
  <c r="F508" i="2"/>
  <c r="E508" i="2"/>
  <c r="F507" i="2"/>
  <c r="E507" i="2"/>
  <c r="F506" i="2"/>
  <c r="E506" i="2"/>
  <c r="F505" i="2"/>
  <c r="E505" i="2"/>
  <c r="F504" i="2"/>
  <c r="E504" i="2"/>
  <c r="F503" i="2"/>
  <c r="E503" i="2"/>
  <c r="F502" i="2"/>
  <c r="E502" i="2"/>
  <c r="F501" i="2"/>
  <c r="E501" i="2"/>
  <c r="F500" i="2"/>
  <c r="E500" i="2"/>
  <c r="F499" i="2"/>
  <c r="E499" i="2"/>
  <c r="F498" i="2"/>
  <c r="E498" i="2"/>
  <c r="F497" i="2"/>
  <c r="E497" i="2"/>
  <c r="F496" i="2"/>
  <c r="E496" i="2"/>
  <c r="F495" i="2"/>
  <c r="E495" i="2"/>
  <c r="F494" i="2"/>
  <c r="E494" i="2"/>
  <c r="F493" i="2"/>
  <c r="E493" i="2"/>
  <c r="F492" i="2"/>
  <c r="E492" i="2"/>
  <c r="F491" i="2"/>
  <c r="E491" i="2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F472" i="2"/>
  <c r="E472" i="2"/>
  <c r="F471" i="2"/>
  <c r="E471" i="2"/>
  <c r="F470" i="2"/>
  <c r="E470" i="2"/>
  <c r="F469" i="2"/>
  <c r="E469" i="2"/>
  <c r="F468" i="2"/>
  <c r="E468" i="2"/>
  <c r="F467" i="2"/>
  <c r="E467" i="2"/>
  <c r="F466" i="2"/>
  <c r="E466" i="2"/>
  <c r="F465" i="2"/>
  <c r="E465" i="2"/>
  <c r="F464" i="2"/>
  <c r="E464" i="2"/>
  <c r="F463" i="2"/>
  <c r="E463" i="2"/>
  <c r="F462" i="2"/>
  <c r="E462" i="2"/>
  <c r="F461" i="2"/>
  <c r="E461" i="2"/>
  <c r="F460" i="2"/>
  <c r="E460" i="2"/>
  <c r="F459" i="2"/>
  <c r="E459" i="2"/>
  <c r="F458" i="2"/>
  <c r="E458" i="2"/>
  <c r="F457" i="2"/>
  <c r="E457" i="2"/>
  <c r="F456" i="2"/>
  <c r="E456" i="2"/>
  <c r="F455" i="2"/>
  <c r="E455" i="2"/>
  <c r="F454" i="2"/>
  <c r="E454" i="2"/>
  <c r="F453" i="2"/>
  <c r="E453" i="2"/>
  <c r="F452" i="2"/>
  <c r="E452" i="2"/>
  <c r="F451" i="2"/>
  <c r="E451" i="2"/>
  <c r="F450" i="2"/>
  <c r="E450" i="2"/>
  <c r="F449" i="2"/>
  <c r="E449" i="2"/>
  <c r="F448" i="2"/>
  <c r="E448" i="2"/>
  <c r="F447" i="2"/>
  <c r="E447" i="2"/>
  <c r="F446" i="2"/>
  <c r="E446" i="2"/>
  <c r="F445" i="2"/>
  <c r="E445" i="2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F433" i="2"/>
  <c r="E433" i="2"/>
  <c r="F432" i="2"/>
  <c r="E432" i="2"/>
  <c r="F431" i="2"/>
  <c r="E431" i="2"/>
  <c r="F430" i="2"/>
  <c r="E430" i="2"/>
  <c r="F429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F420" i="2"/>
  <c r="E420" i="2"/>
  <c r="F419" i="2"/>
  <c r="E419" i="2"/>
  <c r="F418" i="2"/>
  <c r="E418" i="2"/>
  <c r="F417" i="2"/>
  <c r="E417" i="2"/>
  <c r="F416" i="2"/>
  <c r="E416" i="2"/>
  <c r="F415" i="2"/>
  <c r="E415" i="2"/>
  <c r="F414" i="2"/>
  <c r="E414" i="2"/>
  <c r="F413" i="2"/>
  <c r="E413" i="2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J7" i="7" l="1"/>
  <c r="F38" i="5"/>
  <c r="F39" i="5"/>
  <c r="O18" i="5"/>
  <c r="F29" i="5"/>
  <c r="H8" i="5"/>
  <c r="J2" i="5"/>
  <c r="K3" i="5"/>
  <c r="O3" i="5"/>
  <c r="O8" i="5"/>
  <c r="K10" i="5"/>
  <c r="O10" i="5"/>
  <c r="K12" i="5"/>
  <c r="O12" i="5"/>
  <c r="G18" i="5"/>
  <c r="K19" i="5"/>
  <c r="K21" i="5"/>
  <c r="K23" i="5"/>
  <c r="K25" i="5"/>
  <c r="J5" i="5"/>
  <c r="G6" i="5"/>
  <c r="J7" i="5"/>
  <c r="G7" i="5"/>
  <c r="P8" i="5"/>
  <c r="G17" i="5"/>
  <c r="K18" i="5"/>
  <c r="H22" i="5"/>
  <c r="G22" i="5"/>
  <c r="K2" i="5"/>
  <c r="O5" i="5"/>
  <c r="O17" i="5" s="1"/>
  <c r="K8" i="5"/>
  <c r="K24" i="5"/>
  <c r="M12" i="5"/>
  <c r="M13" i="5"/>
  <c r="D5" i="5"/>
  <c r="H5" i="5" s="1"/>
  <c r="M5" i="5"/>
  <c r="D9" i="5"/>
  <c r="H9" i="5" s="1"/>
  <c r="M9" i="5"/>
  <c r="D13" i="5"/>
  <c r="H13" i="5" s="1"/>
  <c r="B3" i="7"/>
  <c r="N5" i="5"/>
  <c r="M6" i="5"/>
  <c r="D12" i="5"/>
  <c r="H12" i="5" s="1"/>
  <c r="D2" i="5"/>
  <c r="H2" i="5" s="1"/>
  <c r="I2" i="5" s="1"/>
  <c r="M2" i="5"/>
  <c r="N6" i="5"/>
  <c r="N9" i="5"/>
  <c r="N10" i="5"/>
  <c r="O16" i="5" s="1"/>
  <c r="N13" i="5"/>
  <c r="J6" i="5"/>
  <c r="J10" i="5"/>
  <c r="K11" i="5"/>
  <c r="J14" i="5"/>
  <c r="K15" i="5"/>
  <c r="K16" i="5"/>
  <c r="D3" i="5"/>
  <c r="H3" i="5" s="1"/>
  <c r="M3" i="5"/>
  <c r="D7" i="5"/>
  <c r="M7" i="5"/>
  <c r="N8" i="5"/>
  <c r="D11" i="5"/>
  <c r="H11" i="5" s="1"/>
  <c r="M11" i="5"/>
  <c r="N12" i="5"/>
  <c r="K14" i="5"/>
  <c r="D15" i="5"/>
  <c r="H15" i="5" s="1"/>
  <c r="D16" i="5"/>
  <c r="H16" i="5" s="1"/>
  <c r="D17" i="5"/>
  <c r="H17" i="5" s="1"/>
  <c r="D18" i="5"/>
  <c r="D19" i="5"/>
  <c r="H19" i="5" s="1"/>
  <c r="J21" i="5"/>
  <c r="K22" i="5"/>
  <c r="D23" i="5"/>
  <c r="H23" i="5" s="1"/>
  <c r="J25" i="5"/>
  <c r="J4" i="5"/>
  <c r="D4" i="5"/>
  <c r="H4" i="5" s="1"/>
  <c r="K5" i="5"/>
  <c r="D6" i="5"/>
  <c r="H6" i="5" s="1"/>
  <c r="N7" i="5"/>
  <c r="K9" i="5"/>
  <c r="D10" i="5"/>
  <c r="H10" i="5" s="1"/>
  <c r="K13" i="5"/>
  <c r="D14" i="5"/>
  <c r="H14" i="5" s="1"/>
  <c r="J20" i="5"/>
  <c r="J24" i="5"/>
  <c r="J15" i="5"/>
  <c r="J16" i="5"/>
  <c r="J17" i="5"/>
  <c r="J18" i="5"/>
  <c r="J19" i="5"/>
  <c r="K20" i="5"/>
  <c r="D21" i="5"/>
  <c r="H21" i="5" s="1"/>
  <c r="J23" i="5"/>
  <c r="D25" i="5"/>
  <c r="H25" i="5" s="1"/>
  <c r="H21" i="7"/>
  <c r="H22" i="7" s="1"/>
  <c r="D20" i="5"/>
  <c r="H20" i="5" s="1"/>
  <c r="J22" i="5"/>
  <c r="D24" i="5"/>
  <c r="H24" i="5" s="1"/>
  <c r="G6" i="7"/>
  <c r="G7" i="7"/>
  <c r="K7" i="7"/>
  <c r="E8" i="7"/>
  <c r="E31" i="5" l="1"/>
  <c r="E33" i="5"/>
  <c r="E40" i="5"/>
  <c r="E32" i="5"/>
  <c r="E39" i="5"/>
  <c r="E36" i="5"/>
  <c r="E34" i="5"/>
  <c r="E37" i="5"/>
  <c r="E38" i="5"/>
  <c r="E29" i="5"/>
  <c r="E35" i="5"/>
  <c r="E30" i="5"/>
  <c r="H7" i="5"/>
  <c r="F40" i="5"/>
  <c r="F36" i="5"/>
  <c r="F32" i="5"/>
  <c r="F37" i="5"/>
  <c r="F34" i="5"/>
  <c r="F33" i="5"/>
  <c r="F35" i="5"/>
  <c r="H18" i="5"/>
  <c r="F31" i="5"/>
  <c r="F30" i="5"/>
  <c r="H6" i="7"/>
  <c r="I6" i="7" s="1"/>
  <c r="L6" i="7" s="1"/>
  <c r="C29" i="5"/>
  <c r="M29" i="5" s="1"/>
  <c r="O29" i="5" s="1"/>
  <c r="Q29" i="5" s="1"/>
  <c r="K29" i="5" s="1"/>
  <c r="C35" i="5"/>
  <c r="M35" i="5" s="1"/>
  <c r="C30" i="5"/>
  <c r="M30" i="5" s="1"/>
  <c r="O30" i="5" s="1"/>
  <c r="Q30" i="5" s="1"/>
  <c r="K30" i="5" s="1"/>
  <c r="C36" i="5"/>
  <c r="M36" i="5" s="1"/>
  <c r="O36" i="5" s="1"/>
  <c r="Q36" i="5" s="1"/>
  <c r="K36" i="5" s="1"/>
  <c r="C40" i="5"/>
  <c r="M40" i="5" s="1"/>
  <c r="C32" i="5"/>
  <c r="M32" i="5" s="1"/>
  <c r="I3" i="5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O15" i="5"/>
  <c r="B32" i="5" s="1"/>
  <c r="H7" i="7"/>
  <c r="C39" i="5"/>
  <c r="M39" i="5" s="1"/>
  <c r="O39" i="5" s="1"/>
  <c r="Q39" i="5" s="1"/>
  <c r="K39" i="5" s="1"/>
  <c r="C34" i="5"/>
  <c r="M34" i="5" s="1"/>
  <c r="O34" i="5" s="1"/>
  <c r="Q34" i="5" s="1"/>
  <c r="K34" i="5" s="1"/>
  <c r="C38" i="5"/>
  <c r="M38" i="5" s="1"/>
  <c r="O38" i="5" s="1"/>
  <c r="Q38" i="5" s="1"/>
  <c r="K38" i="5" s="1"/>
  <c r="C33" i="5"/>
  <c r="M33" i="5" s="1"/>
  <c r="C37" i="5"/>
  <c r="M37" i="5" s="1"/>
  <c r="O37" i="5" s="1"/>
  <c r="Q37" i="5" s="1"/>
  <c r="K37" i="5" s="1"/>
  <c r="C31" i="5"/>
  <c r="M31" i="5" s="1"/>
  <c r="O31" i="5" s="1"/>
  <c r="Q31" i="5" s="1"/>
  <c r="K31" i="5" s="1"/>
  <c r="E9" i="7"/>
  <c r="G8" i="7"/>
  <c r="K8" i="7"/>
  <c r="I7" i="7"/>
  <c r="L7" i="7" s="1"/>
  <c r="O32" i="5" l="1"/>
  <c r="Q32" i="5" s="1"/>
  <c r="K32" i="5" s="1"/>
  <c r="O35" i="5"/>
  <c r="Q35" i="5" s="1"/>
  <c r="K35" i="5" s="1"/>
  <c r="O33" i="5"/>
  <c r="Q33" i="5" s="1"/>
  <c r="K33" i="5" s="1"/>
  <c r="O40" i="5"/>
  <c r="Q40" i="5" s="1"/>
  <c r="K40" i="5" s="1"/>
  <c r="B37" i="5"/>
  <c r="B40" i="5"/>
  <c r="L40" i="5" s="1"/>
  <c r="N40" i="5" s="1"/>
  <c r="P40" i="5" s="1"/>
  <c r="B33" i="5"/>
  <c r="L33" i="5" s="1"/>
  <c r="N33" i="5" s="1"/>
  <c r="P33" i="5" s="1"/>
  <c r="G33" i="5" s="1"/>
  <c r="B36" i="5"/>
  <c r="B34" i="5"/>
  <c r="B31" i="5"/>
  <c r="L31" i="5" s="1"/>
  <c r="N31" i="5" s="1"/>
  <c r="P31" i="5" s="1"/>
  <c r="B35" i="5"/>
  <c r="D35" i="5" s="1"/>
  <c r="B39" i="5"/>
  <c r="L39" i="5" s="1"/>
  <c r="N39" i="5" s="1"/>
  <c r="P39" i="5" s="1"/>
  <c r="B30" i="5"/>
  <c r="B29" i="5"/>
  <c r="D29" i="5" s="1"/>
  <c r="B38" i="5"/>
  <c r="D38" i="5" s="1"/>
  <c r="D33" i="5"/>
  <c r="L29" i="5"/>
  <c r="N29" i="5" s="1"/>
  <c r="P29" i="5" s="1"/>
  <c r="G29" i="5" s="1"/>
  <c r="L38" i="5"/>
  <c r="N38" i="5" s="1"/>
  <c r="P38" i="5" s="1"/>
  <c r="D32" i="5"/>
  <c r="L32" i="5"/>
  <c r="N32" i="5" s="1"/>
  <c r="P32" i="5" s="1"/>
  <c r="D37" i="5"/>
  <c r="L37" i="5"/>
  <c r="N37" i="5" s="1"/>
  <c r="P37" i="5" s="1"/>
  <c r="G37" i="5" s="1"/>
  <c r="H37" i="5" s="1"/>
  <c r="D40" i="5"/>
  <c r="D34" i="5"/>
  <c r="L34" i="5"/>
  <c r="N34" i="5" s="1"/>
  <c r="P34" i="5" s="1"/>
  <c r="D31" i="5"/>
  <c r="D39" i="5"/>
  <c r="D30" i="5"/>
  <c r="L30" i="5"/>
  <c r="N30" i="5" s="1"/>
  <c r="P30" i="5" s="1"/>
  <c r="H8" i="7"/>
  <c r="I8" i="7" s="1"/>
  <c r="J8" i="7"/>
  <c r="E10" i="7"/>
  <c r="G9" i="7"/>
  <c r="K9" i="7"/>
  <c r="H33" i="5" l="1"/>
  <c r="L35" i="5"/>
  <c r="N35" i="5" s="1"/>
  <c r="P35" i="5" s="1"/>
  <c r="G35" i="5" s="1"/>
  <c r="H35" i="5" s="1"/>
  <c r="L36" i="5"/>
  <c r="N36" i="5" s="1"/>
  <c r="P36" i="5" s="1"/>
  <c r="G36" i="5" s="1"/>
  <c r="H36" i="5" s="1"/>
  <c r="J29" i="5"/>
  <c r="G40" i="5"/>
  <c r="H40" i="5" s="1"/>
  <c r="J40" i="5"/>
  <c r="J33" i="5"/>
  <c r="D36" i="5"/>
  <c r="J38" i="5"/>
  <c r="G38" i="5"/>
  <c r="H38" i="5" s="1"/>
  <c r="J31" i="5"/>
  <c r="G31" i="5"/>
  <c r="H31" i="5" s="1"/>
  <c r="J30" i="5"/>
  <c r="G30" i="5"/>
  <c r="H30" i="5" s="1"/>
  <c r="J32" i="5"/>
  <c r="G32" i="5"/>
  <c r="H32" i="5" s="1"/>
  <c r="J39" i="5"/>
  <c r="G39" i="5"/>
  <c r="H39" i="5" s="1"/>
  <c r="J34" i="5"/>
  <c r="G34" i="5"/>
  <c r="H34" i="5" s="1"/>
  <c r="J37" i="5"/>
  <c r="H29" i="5"/>
  <c r="E11" i="7"/>
  <c r="K10" i="7"/>
  <c r="G10" i="7"/>
  <c r="J9" i="7"/>
  <c r="H9" i="7"/>
  <c r="I9" i="7" s="1"/>
  <c r="L8" i="7"/>
  <c r="J35" i="5" l="1"/>
  <c r="J36" i="5"/>
  <c r="I29" i="5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B44" i="5" s="1"/>
  <c r="C44" i="5"/>
  <c r="M6" i="7"/>
  <c r="M7" i="7" s="1"/>
  <c r="M8" i="7" s="1"/>
  <c r="J10" i="7"/>
  <c r="H10" i="7"/>
  <c r="L9" i="7"/>
  <c r="E12" i="7"/>
  <c r="G11" i="7"/>
  <c r="K11" i="7"/>
  <c r="M9" i="7" l="1"/>
  <c r="E13" i="7"/>
  <c r="G12" i="7"/>
  <c r="K12" i="7"/>
  <c r="I10" i="7"/>
  <c r="L10" i="7" s="1"/>
  <c r="M10" i="7" s="1"/>
  <c r="J11" i="7"/>
  <c r="H11" i="7"/>
  <c r="I11" i="7" s="1"/>
  <c r="L11" i="7" s="1"/>
  <c r="M11" i="7" l="1"/>
  <c r="H12" i="7"/>
  <c r="I12" i="7" s="1"/>
  <c r="J12" i="7"/>
  <c r="E14" i="7"/>
  <c r="K13" i="7"/>
  <c r="G13" i="7"/>
  <c r="E15" i="7" l="1"/>
  <c r="K14" i="7"/>
  <c r="G14" i="7"/>
  <c r="J13" i="7"/>
  <c r="H13" i="7"/>
  <c r="I13" i="7" s="1"/>
  <c r="L12" i="7"/>
  <c r="M12" i="7" s="1"/>
  <c r="J14" i="7" l="1"/>
  <c r="H14" i="7"/>
  <c r="L13" i="7"/>
  <c r="M13" i="7" s="1"/>
  <c r="E16" i="7"/>
  <c r="G15" i="7"/>
  <c r="K15" i="7"/>
  <c r="I14" i="7" l="1"/>
  <c r="L14" i="7" s="1"/>
  <c r="M14" i="7" s="1"/>
  <c r="G16" i="7"/>
  <c r="K16" i="7"/>
  <c r="E17" i="7"/>
  <c r="J15" i="7"/>
  <c r="H15" i="7"/>
  <c r="I15" i="7" s="1"/>
  <c r="L15" i="7" l="1"/>
  <c r="M15" i="7"/>
  <c r="H16" i="7"/>
  <c r="I16" i="7" s="1"/>
  <c r="J16" i="7"/>
  <c r="K17" i="7"/>
  <c r="G17" i="7"/>
  <c r="L16" i="7" l="1"/>
  <c r="M16" i="7" s="1"/>
  <c r="J17" i="7"/>
  <c r="H17" i="7"/>
  <c r="I17" i="7" s="1"/>
  <c r="L17" i="7" s="1"/>
  <c r="M17" i="7" l="1"/>
</calcChain>
</file>

<file path=xl/sharedStrings.xml><?xml version="1.0" encoding="utf-8"?>
<sst xmlns="http://schemas.openxmlformats.org/spreadsheetml/2006/main" count="2576" uniqueCount="192">
  <si>
    <t>Rp 12.000.000</t>
  </si>
  <si>
    <t>Rp 185.000 / kg</t>
  </si>
  <si>
    <t>10% - 20%</t>
  </si>
  <si>
    <t>55%</t>
  </si>
  <si>
    <t>Rp 54.000.000</t>
  </si>
  <si>
    <t>Rp 35.000.000</t>
  </si>
  <si>
    <t>Rp 45.000.000</t>
  </si>
  <si>
    <t>Rp 5.500.000 / bulan</t>
  </si>
  <si>
    <t>Rp 30.000.000</t>
  </si>
  <si>
    <t>Rp 22.000.000</t>
  </si>
  <si>
    <t>Rp 40.000.000</t>
  </si>
  <si>
    <t>Rp 3.800.000 / bulan</t>
  </si>
  <si>
    <t>Rp 5.800.000 / bulan</t>
  </si>
  <si>
    <t>1% - 1.5% / bulan</t>
  </si>
  <si>
    <t>Outlet</t>
  </si>
  <si>
    <t>Renjana Kedua</t>
  </si>
  <si>
    <t>Renjana Utama</t>
  </si>
  <si>
    <t>Row Labels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</si>
  <si>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</si>
  <si>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</si>
  <si>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</si>
  <si>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</si>
  <si>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</si>
  <si>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</si>
  <si>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</si>
  <si>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</si>
  <si>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</si>
  <si>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</si>
  <si>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</si>
  <si>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</si>
  <si>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</si>
  <si>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</si>
  <si>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</si>
  <si>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</si>
  <si>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</si>
  <si>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</si>
  <si>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</si>
  <si>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</si>
  <si>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</si>
  <si>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</si>
  <si>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</si>
  <si>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</si>
  <si>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</si>
  <si>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Column Labels</t>
  </si>
  <si>
    <t>Sum of Omzet</t>
  </si>
  <si>
    <t>Kategori_biaya</t>
  </si>
  <si>
    <t>Bahan Baku</t>
  </si>
  <si>
    <t>Sewa</t>
  </si>
  <si>
    <t>Marketing</t>
  </si>
  <si>
    <t>Maintenance</t>
  </si>
  <si>
    <t>Sum of Jumlah</t>
  </si>
  <si>
    <t>outlet_id</t>
  </si>
  <si>
    <t>OUT01</t>
  </si>
  <si>
    <t>2022-06-15</t>
  </si>
  <si>
    <t>OUT02</t>
  </si>
  <si>
    <t>2024-04-01</t>
  </si>
  <si>
    <t>CAND01</t>
  </si>
  <si>
    <t>Lokasi C - Dekat Stasiun</t>
  </si>
  <si>
    <t>TBD</t>
  </si>
  <si>
    <t>CAND02</t>
  </si>
  <si>
    <t>Lokasi D - Dekat Perumahan</t>
  </si>
  <si>
    <t xml:space="preserve"> </t>
  </si>
  <si>
    <t>Margin</t>
  </si>
  <si>
    <t>Parameter</t>
  </si>
  <si>
    <t>Ramp-up C</t>
  </si>
  <si>
    <t>Ramp-up D</t>
  </si>
  <si>
    <t>Ramp-up %</t>
  </si>
  <si>
    <t>Capex</t>
  </si>
  <si>
    <t>C</t>
  </si>
  <si>
    <t>D</t>
  </si>
  <si>
    <t>$B$1</t>
  </si>
  <si>
    <t>$B$2</t>
  </si>
  <si>
    <t>$M$17</t>
  </si>
  <si>
    <t>Created by Admin on 9/27/2026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</si>
  <si>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</si>
  <si>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</si>
  <si>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</si>
  <si>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</si>
  <si>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</si>
  <si>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</si>
  <si>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</si>
  <si>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Value</t>
  </si>
  <si>
    <t>Description</t>
  </si>
  <si>
    <t>Opening cash as of January 1, 2024</t>
  </si>
  <si>
    <t>Current coffee bean price (Dec 2025)</t>
  </si>
  <si>
    <t>Estimated coffee bean price increase</t>
  </si>
  <si>
    <t>Proportion of Raw Material cost from coffee beans</t>
  </si>
  <si>
    <t>Minimum target cash reserve</t>
  </si>
  <si>
    <t>Capex Location C (near Station) - Rental deposit</t>
  </si>
  <si>
    <t>Capex Location C (near Station) - Renovation &amp; interior</t>
  </si>
  <si>
    <t>Capex Location C (near Station) - Equipment</t>
  </si>
  <si>
    <t>Monthly rent Location C (year 2 onward)</t>
  </si>
  <si>
    <t>Capex Location D (near Residential area) - Rental deposit</t>
  </si>
  <si>
    <t>Capex Location D (near Residential area) - Renovation &amp; interior</t>
  </si>
  <si>
    <t>Capex Location D (near Residential area) - Equipment</t>
  </si>
  <si>
    <t>Monthly rent Location D (year 2 onward)</t>
  </si>
  <si>
    <t>Revenue ramp-up Location C (from mature similar outlet revenue)</t>
  </si>
  <si>
    <t>Revenue ramp-up Location D (from mature similar outlet revenue)</t>
  </si>
  <si>
    <t>Reference revenue of mature similar outlet (ramp-up basis)</t>
  </si>
  <si>
    <t>Estimated monthly operating cost of new outlet once mature (excluding Rent &amp; Raw Materials)</t>
  </si>
  <si>
    <t>Monthly organic growth rate of existing outlets (Kirana's expectation)</t>
  </si>
  <si>
    <t>Not yet determined</t>
  </si>
  <si>
    <t>Month 1: 50%, Month 2: 65%, Month 3: 78%, Month 4: 88%, Month 5: 95%, Month 6+: 100%</t>
  </si>
  <si>
    <t>Month 1: 30%, Month 2: 42%, Month 3: 55%, Month 4: 68%, Month 5: 80%, Month 6: 90%, Month 7+: 100%</t>
  </si>
  <si>
    <t>Average monthly revenue of Renjana Kedua over the last 6 months of historical data</t>
  </si>
  <si>
    <t>Kedai Renjana's cash balance before the 24-month historical period began. Starting point for calculating running cash.</t>
  </si>
  <si>
    <t>Purchase price from the main supplier, valid to date.</t>
  </si>
  <si>
    <t>Info from supplier, no definite figure yet. Kirana asked to simulate several scenarios at once (10%, 15%, 20%).</t>
  </si>
  <si>
    <t>The remainder (45%) is milk, sugar, packaging, and other light food ingredients - prices are assumed to be relatively stable and not increasing.</t>
  </si>
  <si>
    <t>Kirana doesn't have a definite figure yet. She once heard the SME rule of thumb 'cash reserve = 3-6 months of fixed operating costs (Rent+Salary)' but hasn't decided which to use. To be discussed before moving on to Business Question no. 4-6.</t>
  </si>
  <si>
    <t>1 year rental deposit paid in advance.</t>
  </si>
  <si>
    <t>Espresso machine, grinder, fridge, etc.</t>
  </si>
  <si>
    <t>Outside the first 12-month projection horizon, recorded for reference.</t>
  </si>
  <si>
    <t>Busy/high-traffic location but tight competition, fast ramp-up but with a plateau.</t>
  </si>
  <si>
    <t>Residential location, slow at first due to low awareness, steady upward trend (loyal community).</t>
  </si>
  <si>
    <t>Used as the 100% basis in the ramp-up curve above - calculated from Fact_Penjualan_Harian data, not a fixed figure.</t>
  </si>
  <si>
    <t>Staff salary, utilities, routine marketing, etc. - average from Renjana Kedua's non-Rent non-Raw-Material cost pattern.</t>
  </si>
  <si>
    <t>Kirana's own rough expectation - compare against the actual growth rate calculated from historical data.</t>
  </si>
  <si>
    <t>name</t>
  </si>
  <si>
    <t>location</t>
  </si>
  <si>
    <t>type</t>
  </si>
  <si>
    <t>start_operation_date</t>
  </si>
  <si>
    <t>area_m2</t>
  </si>
  <si>
    <t>seating_capacity</t>
  </si>
  <si>
    <t>notes</t>
  </si>
  <si>
    <t>Jl. Perkantoran Sudirman (office area)</t>
  </si>
  <si>
    <t>Jl. Kampus Merdeka (near campus)</t>
  </si>
  <si>
    <t>Area Stasiun Cikini Baru (fictional)</t>
  </si>
  <si>
    <t>Komplek Perumahan Graha Asri (fictional)</t>
  </si>
  <si>
    <t>Existing</t>
  </si>
  <si>
    <t>Candidate</t>
  </si>
  <si>
    <t>First outlet, targets office workers, busy hours weekday midday &amp; afternoon</t>
  </si>
  <si>
    <t>Second outlet, targets students, busy on weekends &amp; evenings, quiet during semester breaks</t>
  </si>
  <si>
    <t>High traffic but tight competition (many other coffee shops within 200m radius)</t>
  </si>
  <si>
    <t>Minimal competitors, targets loyal community around the residential area, slower growth at the start</t>
  </si>
  <si>
    <t>Date</t>
  </si>
  <si>
    <t>Transaction_Count</t>
  </si>
  <si>
    <t>Revenue</t>
  </si>
  <si>
    <t>Month</t>
  </si>
  <si>
    <t>Day</t>
  </si>
  <si>
    <t>Cost_Category</t>
  </si>
  <si>
    <t>Amount</t>
  </si>
  <si>
    <t>Raw Materials</t>
  </si>
  <si>
    <t>Salary</t>
  </si>
  <si>
    <t>Rent</t>
  </si>
  <si>
    <t>Utilities</t>
  </si>
  <si>
    <t>Other</t>
  </si>
  <si>
    <t>Main Revenue</t>
  </si>
  <si>
    <t>Second Revenue</t>
  </si>
  <si>
    <t>Total Revenue</t>
  </si>
  <si>
    <t>Main Costs</t>
  </si>
  <si>
    <t>Second Costs</t>
  </si>
  <si>
    <t>Total Costs</t>
  </si>
  <si>
    <t>Month-End Cash</t>
  </si>
  <si>
    <t>Main Margin</t>
  </si>
  <si>
    <t>Second Margin</t>
  </si>
  <si>
    <t>Main Raw Materials</t>
  </si>
  <si>
    <t>Second Raw Materials</t>
  </si>
  <si>
    <t>Main Other Costs</t>
  </si>
  <si>
    <t>Second Other Costs</t>
  </si>
  <si>
    <t>Main Costs Final</t>
  </si>
  <si>
    <t>Second Costs Final</t>
  </si>
  <si>
    <t>Growth Main Revenue (B14-B25)</t>
  </si>
  <si>
    <t>Growth Second Revenue (C17-C25)</t>
  </si>
  <si>
    <t>Growth Main Cost (E14-E25)</t>
  </si>
  <si>
    <t>Growth Second Cost (F17-F25)</t>
  </si>
  <si>
    <t xml:space="preserve">Avg Growth Main Revenue : </t>
  </si>
  <si>
    <t xml:space="preserve">Avg Growth Second Revenue : </t>
  </si>
  <si>
    <t xml:space="preserve">Avg Growth Main Cost : </t>
  </si>
  <si>
    <t xml:space="preserve">Avg Growth Second Cost : </t>
  </si>
  <si>
    <t>% increase in coffee bean price :</t>
  </si>
  <si>
    <t>Dec 2026 Ending Cash</t>
  </si>
  <si>
    <t>2026 Average Monthly Margin</t>
  </si>
  <si>
    <t>New Location</t>
  </si>
  <si>
    <t>Start Month</t>
  </si>
  <si>
    <t>Mature Revenue Reference</t>
  </si>
  <si>
    <t>Months Since Opening</t>
  </si>
  <si>
    <t>None</t>
  </si>
  <si>
    <t>Month #</t>
  </si>
  <si>
    <t>Monthly Fixed Costs (2025 average):</t>
  </si>
  <si>
    <t>Minimum Cash Reserve Target (4 months):</t>
  </si>
  <si>
    <t xml:space="preserve">Months Since Opening </t>
  </si>
  <si>
    <t>New Outlet Revenue</t>
  </si>
  <si>
    <t>New Raw Materials</t>
  </si>
  <si>
    <t xml:space="preserve">Operating Cost </t>
  </si>
  <si>
    <t xml:space="preserve">Net Cash New Outlet </t>
  </si>
  <si>
    <t>Combined Ending Cash</t>
  </si>
  <si>
    <t>No New Outlet</t>
  </si>
  <si>
    <t>Location C - Month 1</t>
  </si>
  <si>
    <t>Location C - Month 4</t>
  </si>
  <si>
    <t>Location D - Month 1</t>
  </si>
  <si>
    <t>Location D - Month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</si>
</sst>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"/>
    <numFmt numFmtId="165" formatCode="_(* #,##0_);_(* \(#,##0\);_(* &quot;-&quot;??_);_(@_)"/>
    <numFmt numFmtId="166" formatCode="0.0%"/>
    <numFmt numFmtId="167" formatCode="_(* #,##0.0_);_(* \(#,##0.0\);_(* &quot;-&quot;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1" applyNumberFormat="1" applyFont="1"/>
    <xf numFmtId="165" fontId="0" fillId="0" borderId="1" xfId="1" applyNumberFormat="1" applyFont="1" applyBorder="1"/>
    <xf numFmtId="166" fontId="0" fillId="0" borderId="0" xfId="2" applyNumberFormat="1" applyFont="1" applyAlignment="1">
      <alignment horizontal="right"/>
    </xf>
    <xf numFmtId="166" fontId="3" fillId="0" borderId="0" xfId="0" applyNumberFormat="1" applyFont="1" applyAlignment="1">
      <alignment horizontal="center"/>
    </xf>
    <xf numFmtId="165" fontId="0" fillId="0" borderId="0" xfId="1" applyNumberFormat="1" applyFont="1" applyAlignment="1">
      <alignment horizontal="center" wrapText="1"/>
    </xf>
    <xf numFmtId="164" fontId="0" fillId="0" borderId="0" xfId="0" applyNumberFormat="1"/>
    <xf numFmtId="43" fontId="0" fillId="0" borderId="0" xfId="0" applyNumberFormat="1"/>
    <xf numFmtId="164" fontId="0" fillId="3" borderId="5" xfId="0" applyNumberFormat="1" applyFill="1" applyBorder="1"/>
    <xf numFmtId="165" fontId="0" fillId="3" borderId="4" xfId="1" applyNumberFormat="1" applyFont="1" applyFill="1" applyBorder="1"/>
    <xf numFmtId="165" fontId="0" fillId="3" borderId="6" xfId="1" applyNumberFormat="1" applyFont="1" applyFill="1" applyBorder="1"/>
    <xf numFmtId="164" fontId="0" fillId="0" borderId="5" xfId="0" applyNumberFormat="1" applyBorder="1"/>
    <xf numFmtId="165" fontId="0" fillId="0" borderId="4" xfId="1" applyNumberFormat="1" applyFont="1" applyBorder="1"/>
    <xf numFmtId="165" fontId="0" fillId="0" borderId="6" xfId="1" applyNumberFormat="1" applyFont="1" applyBorder="1"/>
    <xf numFmtId="164" fontId="0" fillId="0" borderId="3" xfId="0" applyNumberFormat="1" applyBorder="1"/>
    <xf numFmtId="165" fontId="0" fillId="0" borderId="2" xfId="1" applyNumberFormat="1" applyFont="1" applyBorder="1"/>
    <xf numFmtId="164" fontId="0" fillId="3" borderId="7" xfId="0" applyNumberFormat="1" applyFill="1" applyBorder="1"/>
    <xf numFmtId="165" fontId="0" fillId="3" borderId="0" xfId="1" applyNumberFormat="1" applyFont="1" applyFill="1" applyBorder="1"/>
    <xf numFmtId="165" fontId="0" fillId="3" borderId="8" xfId="1" applyNumberFormat="1" applyFont="1" applyFill="1" applyBorder="1"/>
    <xf numFmtId="0" fontId="2" fillId="2" borderId="9" xfId="0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165" fontId="2" fillId="2" borderId="10" xfId="1" applyNumberFormat="1" applyFont="1" applyFill="1" applyBorder="1" applyAlignment="1">
      <alignment horizontal="center" vertical="center"/>
    </xf>
    <xf numFmtId="9" fontId="5" fillId="0" borderId="0" xfId="2" applyFont="1" applyBorder="1" applyAlignment="1">
      <alignment horizontal="center"/>
    </xf>
    <xf numFmtId="9" fontId="6" fillId="4" borderId="9" xfId="0" applyNumberFormat="1" applyFont="1" applyFill="1" applyBorder="1" applyAlignment="1">
      <alignment vertical="center"/>
    </xf>
    <xf numFmtId="165" fontId="6" fillId="0" borderId="9" xfId="0" applyNumberFormat="1" applyFont="1" applyBorder="1" applyAlignment="1">
      <alignment vertical="center"/>
    </xf>
    <xf numFmtId="165" fontId="2" fillId="2" borderId="12" xfId="1" applyNumberFormat="1" applyFont="1" applyFill="1" applyBorder="1" applyAlignment="1">
      <alignment vertical="center"/>
    </xf>
    <xf numFmtId="165" fontId="2" fillId="2" borderId="11" xfId="1" applyNumberFormat="1" applyFont="1" applyFill="1" applyBorder="1" applyAlignment="1">
      <alignment horizontal="center" vertical="center" wrapText="1"/>
    </xf>
    <xf numFmtId="165" fontId="2" fillId="2" borderId="9" xfId="1" applyNumberFormat="1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/>
    </xf>
    <xf numFmtId="9" fontId="0" fillId="6" borderId="9" xfId="0" applyNumberFormat="1" applyFill="1" applyBorder="1" applyAlignment="1">
      <alignment vertical="center" wrapText="1"/>
    </xf>
    <xf numFmtId="0" fontId="0" fillId="0" borderId="9" xfId="0" applyBorder="1" applyAlignment="1">
      <alignment horizontal="center"/>
    </xf>
    <xf numFmtId="9" fontId="0" fillId="0" borderId="9" xfId="0" applyNumberFormat="1" applyBorder="1" applyAlignment="1">
      <alignment vertical="center" wrapText="1"/>
    </xf>
    <xf numFmtId="165" fontId="0" fillId="0" borderId="0" xfId="0" applyNumberFormat="1"/>
    <xf numFmtId="0" fontId="3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7" fillId="0" borderId="0" xfId="0" applyFont="1"/>
    <xf numFmtId="0" fontId="3" fillId="4" borderId="0" xfId="0" applyFont="1" applyFill="1" applyAlignment="1">
      <alignment horizontal="center"/>
    </xf>
    <xf numFmtId="0" fontId="0" fillId="0" borderId="9" xfId="0" applyBorder="1"/>
    <xf numFmtId="9" fontId="0" fillId="0" borderId="9" xfId="2" applyFont="1" applyBorder="1"/>
    <xf numFmtId="165" fontId="0" fillId="0" borderId="9" xfId="0" applyNumberFormat="1" applyBorder="1"/>
    <xf numFmtId="167" fontId="0" fillId="0" borderId="9" xfId="0" applyNumberFormat="1" applyBorder="1"/>
    <xf numFmtId="165" fontId="0" fillId="0" borderId="9" xfId="1" applyNumberFormat="1" applyFont="1" applyBorder="1"/>
    <xf numFmtId="165" fontId="0" fillId="0" borderId="14" xfId="0" applyNumberFormat="1" applyBorder="1"/>
    <xf numFmtId="0" fontId="8" fillId="7" borderId="15" xfId="0" applyFont="1" applyFill="1" applyBorder="1" applyAlignment="1">
      <alignment horizontal="left"/>
    </xf>
    <xf numFmtId="0" fontId="8" fillId="7" borderId="13" xfId="0" applyFont="1" applyFill="1" applyBorder="1" applyAlignment="1">
      <alignment horizontal="left"/>
    </xf>
    <xf numFmtId="0" fontId="0" fillId="0" borderId="16" xfId="0" applyBorder="1"/>
    <xf numFmtId="0" fontId="9" fillId="8" borderId="0" xfId="0" applyFont="1" applyFill="1" applyAlignment="1">
      <alignment horizontal="left"/>
    </xf>
    <xf numFmtId="0" fontId="10" fillId="8" borderId="16" xfId="0" applyFont="1" applyFill="1" applyBorder="1" applyAlignment="1">
      <alignment horizontal="left"/>
    </xf>
    <xf numFmtId="0" fontId="9" fillId="8" borderId="14" xfId="0" applyFont="1" applyFill="1" applyBorder="1" applyAlignment="1">
      <alignment horizontal="left"/>
    </xf>
    <xf numFmtId="0" fontId="11" fillId="7" borderId="13" xfId="0" applyFont="1" applyFill="1" applyBorder="1" applyAlignment="1">
      <alignment horizontal="right"/>
    </xf>
    <xf numFmtId="0" fontId="11" fillId="7" borderId="15" xfId="0" applyFont="1" applyFill="1" applyBorder="1" applyAlignment="1">
      <alignment horizontal="right"/>
    </xf>
    <xf numFmtId="0" fontId="0" fillId="9" borderId="0" xfId="0" applyFill="1"/>
    <xf numFmtId="0" fontId="12" fillId="0" borderId="0" xfId="0" applyFont="1" applyAlignment="1">
      <alignment vertical="top" wrapText="1"/>
    </xf>
    <xf numFmtId="0" fontId="5" fillId="0" borderId="0" xfId="0" applyFont="1" applyAlignment="1">
      <alignment horizontal="right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22">
    <dxf>
      <numFmt numFmtId="166" formatCode="0.0%"/>
      <alignment horizontal="right" vertical="bottom" textRotation="0" wrapText="0" indent="0" justifyLastLine="0" shrinkToFit="0" readingOrder="0"/>
    </dxf>
    <dxf>
      <numFmt numFmtId="166" formatCode="0.0%"/>
      <alignment horizontal="right" vertical="bottom" textRotation="0" wrapText="0" indent="0" justifyLastLine="0" shrinkToFit="0" readingOrder="0"/>
    </dxf>
    <dxf>
      <numFmt numFmtId="166" formatCode="0.0%"/>
      <alignment horizontal="right" vertical="bottom" textRotation="0" wrapText="0" indent="0" justifyLastLine="0" shrinkToFit="0" readingOrder="0"/>
    </dxf>
    <dxf>
      <numFmt numFmtId="166" formatCode="0.0%"/>
      <alignment horizontal="right" vertical="bottom" textRotation="0" wrapText="0" indent="0" justifyLastLine="0" shrinkToFit="0" readingOrder="0"/>
    </dxf>
    <dxf>
      <numFmt numFmtId="166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bottom" textRotation="0" wrapText="1" indent="0" justifyLastLine="0" shrinkToFit="0" readingOrder="0"/>
    </dxf>
    <dxf>
      <numFmt numFmtId="19" formatCode="m/d/yyyy"/>
    </dxf>
    <dxf>
      <alignment horizontal="general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[Kedai-Renjana-Budget-Model (english).xlsx]Daily_Sales!PivotTable3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Daily_Sales!$J$3:$J$4</c:f>
              <c:strCache>
                <c:ptCount val="1"/>
                <c:pt idx="0">
                  <c:v>Renjana Kedua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Daily_Sales!$I$5:$I$29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Daily_Sales!$J$5:$J$29</c:f>
              <c:numCache>
                <c:formatCode>General</c:formatCode>
                <c:ptCount val="24"/>
                <c:pt idx="3">
                  <c:v>7934000</c:v>
                </c:pt>
                <c:pt idx="4">
                  <c:v>9698000</c:v>
                </c:pt>
                <c:pt idx="5">
                  <c:v>11495000</c:v>
                </c:pt>
                <c:pt idx="6">
                  <c:v>7654000</c:v>
                </c:pt>
                <c:pt idx="7">
                  <c:v>16359000</c:v>
                </c:pt>
                <c:pt idx="8">
                  <c:v>17983000</c:v>
                </c:pt>
                <c:pt idx="9">
                  <c:v>19908000</c:v>
                </c:pt>
                <c:pt idx="10">
                  <c:v>19575000</c:v>
                </c:pt>
                <c:pt idx="11">
                  <c:v>19798000</c:v>
                </c:pt>
                <c:pt idx="12">
                  <c:v>14331000</c:v>
                </c:pt>
                <c:pt idx="13">
                  <c:v>18588000</c:v>
                </c:pt>
                <c:pt idx="14">
                  <c:v>21933000</c:v>
                </c:pt>
                <c:pt idx="15">
                  <c:v>20604000</c:v>
                </c:pt>
                <c:pt idx="16">
                  <c:v>21185000</c:v>
                </c:pt>
                <c:pt idx="17">
                  <c:v>21002000</c:v>
                </c:pt>
                <c:pt idx="18">
                  <c:v>12315000</c:v>
                </c:pt>
                <c:pt idx="19">
                  <c:v>22181000</c:v>
                </c:pt>
                <c:pt idx="20">
                  <c:v>21704000</c:v>
                </c:pt>
                <c:pt idx="21">
                  <c:v>22804000</c:v>
                </c:pt>
                <c:pt idx="22">
                  <c:v>22596000</c:v>
                </c:pt>
                <c:pt idx="23">
                  <c:v>23202000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FC-47D3-AC54-26199C07D9AB}"/>
            </c:ext>
          </c:extLst>
        </c:ser>
        <c:ser>
          <c:idx val="1"/>
          <c:order val="1"/>
          <c:tx>
            <c:strRef>
              <c:f>Daily_Sales!$K$3:$K$4</c:f>
              <c:strCache>
                <c:ptCount val="1"/>
                <c:pt idx="0">
                  <c:v>Renjana Utama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Daily_Sales!$I$5:$I$29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Daily_Sales!$K$5:$K$29</c:f>
              <c:numCache>
                <c:formatCode>General</c:formatCode>
                <c:ptCount val="24"/>
                <c:pt idx="0">
                  <c:v>23311000</c:v>
                </c:pt>
                <c:pt idx="1">
                  <c:v>21807000</c:v>
                </c:pt>
                <c:pt idx="2">
                  <c:v>23568000</c:v>
                </c:pt>
                <c:pt idx="3">
                  <c:v>21618000</c:v>
                </c:pt>
                <c:pt idx="4">
                  <c:v>24497000</c:v>
                </c:pt>
                <c:pt idx="5">
                  <c:v>24032000</c:v>
                </c:pt>
                <c:pt idx="6">
                  <c:v>25994000</c:v>
                </c:pt>
                <c:pt idx="7">
                  <c:v>20348000</c:v>
                </c:pt>
                <c:pt idx="8">
                  <c:v>25277000</c:v>
                </c:pt>
                <c:pt idx="9">
                  <c:v>27126000</c:v>
                </c:pt>
                <c:pt idx="10">
                  <c:v>26274000</c:v>
                </c:pt>
                <c:pt idx="11">
                  <c:v>33596000</c:v>
                </c:pt>
                <c:pt idx="12">
                  <c:v>28787000</c:v>
                </c:pt>
                <c:pt idx="13">
                  <c:v>26023000</c:v>
                </c:pt>
                <c:pt idx="14">
                  <c:v>28568000</c:v>
                </c:pt>
                <c:pt idx="15">
                  <c:v>28062000</c:v>
                </c:pt>
                <c:pt idx="16">
                  <c:v>30024000</c:v>
                </c:pt>
                <c:pt idx="17">
                  <c:v>29850000</c:v>
                </c:pt>
                <c:pt idx="18">
                  <c:v>31429000</c:v>
                </c:pt>
                <c:pt idx="19">
                  <c:v>30593000</c:v>
                </c:pt>
                <c:pt idx="20">
                  <c:v>31714000</c:v>
                </c:pt>
                <c:pt idx="21">
                  <c:v>31755000</c:v>
                </c:pt>
                <c:pt idx="22">
                  <c:v>30706000</c:v>
                </c:pt>
                <c:pt idx="23">
                  <c:v>39897000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FC-47D3-AC54-26199C07D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9327568"/>
        <c:axId val="2069326128"/>
      </c:lineChart>
      <c:catAx>
        <c:axId val="206932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326128"/>
        <c:crosses val="autoZero"/>
        <c:auto val="1"/>
        <c:lblAlgn val="ctr"/>
        <c:lblOffset val="100"/>
        <c:noMultiLvlLbl val="0"/>
      </c:catAx>
      <c:valAx>
        <c:axId val="20693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32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2</xdr:row>
      <xdr:rowOff>57150</xdr:rowOff>
    </xdr:from>
    <xdr:to>
      <xdr:col>19</xdr:col>
      <xdr:colOff>137160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BAC8C-94C4-ED8F-9736-3D8884E37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0.398657291669" createdVersion="8" refreshedVersion="8" minRefreshableVersion="3" recordCount="1371" xr:uid="{CB578E06-0F81-4DFB-98AE-E523598D6A7A}">
  <cacheSource type="worksheet">
    <worksheetSource name="Table1"/>
  </cacheSource>
  <cacheFields count="6">
    <cacheField name="Tanggal" numFmtId="14">
      <sharedItems containsSemiMixedTypes="0" containsNonDate="0" containsDate="1" containsString="0" minDate="2024-01-01T00:00:00" maxDate="2026-01-01T00:00:00"/>
    </cacheField>
    <cacheField name="Outlet" numFmtId="0">
      <sharedItems count="2">
        <s v="Renjana Kedua"/>
        <s v="Renjana Utama"/>
      </sharedItems>
    </cacheField>
    <cacheField name="Jumlah_transaksi" numFmtId="0">
      <sharedItems containsString="0" containsBlank="1" containsNumber="1" containsInteger="1" minValue="0" maxValue="70"/>
    </cacheField>
    <cacheField name="Omzet" numFmtId="0">
      <sharedItems containsSemiMixedTypes="0" containsString="0" containsNumber="1" containsInteger="1" minValue="0" maxValue="1668000"/>
    </cacheField>
    <cacheField name="Bulan" numFmtId="0">
      <sharedItems count="24"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4-01"/>
        <s v="2024-02"/>
        <s v="2024-03"/>
      </sharedItems>
    </cacheField>
    <cacheField name="Ha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0.400722337959" createdVersion="8" refreshedVersion="8" minRefreshableVersion="3" recordCount="317" xr:uid="{05584F4F-5C85-4DEE-8532-6D453EA9DFFA}">
  <cacheSource type="worksheet">
    <worksheetSource name="Table13"/>
  </cacheSource>
  <cacheFields count="4">
    <cacheField name="Bulan" numFmtId="0">
      <sharedItems count="24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Outlet" numFmtId="0">
      <sharedItems count="2">
        <s v="Renjana Utama"/>
        <s v="Renjana Kedua"/>
      </sharedItems>
    </cacheField>
    <cacheField name="Kategori_biaya" numFmtId="0">
      <sharedItems count="7">
        <s v="Bahan Baku"/>
        <s v="Gaji"/>
        <s v="Sewa"/>
        <s v="Utilitas"/>
        <s v="Marketing"/>
        <s v="Maintenance"/>
        <s v="Lain-lain"/>
      </sharedItems>
    </cacheField>
    <cacheField name="Jumlah" numFmtId="0">
      <sharedItems containsSemiMixedTypes="0" containsString="0" containsNumber="1" containsInteger="1" minValue="0" maxValue="1300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1">
  <r>
    <d v="2024-04-01T00:00:00"/>
    <x v="0"/>
    <n v="18"/>
    <n v="493000"/>
    <x v="0"/>
    <s v="Mon"/>
  </r>
  <r>
    <d v="2024-04-02T00:00:00"/>
    <x v="0"/>
    <n v="24"/>
    <n v="464000"/>
    <x v="0"/>
    <s v="Tue"/>
  </r>
  <r>
    <d v="2024-04-03T00:00:00"/>
    <x v="0"/>
    <n v="18"/>
    <n v="474000"/>
    <x v="0"/>
    <s v="Wed"/>
  </r>
  <r>
    <d v="2024-04-04T00:00:00"/>
    <x v="0"/>
    <n v="7"/>
    <n v="145000"/>
    <x v="0"/>
    <s v="Thu"/>
  </r>
  <r>
    <d v="2024-04-05T00:00:00"/>
    <x v="0"/>
    <n v="11"/>
    <n v="229000"/>
    <x v="0"/>
    <s v="Fri"/>
  </r>
  <r>
    <d v="2024-04-06T00:00:00"/>
    <x v="0"/>
    <n v="15"/>
    <n v="299000"/>
    <x v="0"/>
    <s v="Sat"/>
  </r>
  <r>
    <d v="2024-04-07T00:00:00"/>
    <x v="0"/>
    <n v="15"/>
    <n v="263000"/>
    <x v="0"/>
    <s v="Sun"/>
  </r>
  <r>
    <d v="2024-04-08T00:00:00"/>
    <x v="0"/>
    <n v="11"/>
    <n v="216000"/>
    <x v="0"/>
    <s v="Mon"/>
  </r>
  <r>
    <d v="2024-04-09T00:00:00"/>
    <x v="0"/>
    <n v="11"/>
    <n v="208000"/>
    <x v="0"/>
    <s v="Tue"/>
  </r>
  <r>
    <d v="2024-04-10T00:00:00"/>
    <x v="0"/>
    <n v="7"/>
    <n v="193000"/>
    <x v="0"/>
    <s v="Wed"/>
  </r>
  <r>
    <d v="2024-04-11T00:00:00"/>
    <x v="0"/>
    <n v="11"/>
    <n v="227000"/>
    <x v="0"/>
    <s v="Thu"/>
  </r>
  <r>
    <d v="2024-04-12T00:00:00"/>
    <x v="0"/>
    <n v="10"/>
    <n v="202000"/>
    <x v="0"/>
    <s v="Fri"/>
  </r>
  <r>
    <d v="2024-04-13T00:00:00"/>
    <x v="0"/>
    <n v="14"/>
    <n v="278000"/>
    <x v="0"/>
    <s v="Sat"/>
  </r>
  <r>
    <d v="2024-04-14T00:00:00"/>
    <x v="0"/>
    <n v="14"/>
    <n v="268000"/>
    <x v="0"/>
    <s v="Sun"/>
  </r>
  <r>
    <d v="2024-04-15T00:00:00"/>
    <x v="0"/>
    <n v="12"/>
    <n v="224000"/>
    <x v="0"/>
    <s v="Mon"/>
  </r>
  <r>
    <d v="2024-04-16T00:00:00"/>
    <x v="0"/>
    <n v="11"/>
    <n v="214000"/>
    <x v="0"/>
    <s v="Tue"/>
  </r>
  <r>
    <d v="2024-04-17T00:00:00"/>
    <x v="0"/>
    <n v="10"/>
    <n v="230000"/>
    <x v="0"/>
    <s v="Wed"/>
  </r>
  <r>
    <d v="2024-04-18T00:00:00"/>
    <x v="0"/>
    <n v="10"/>
    <n v="207000"/>
    <x v="0"/>
    <s v="Thu"/>
  </r>
  <r>
    <d v="2024-04-19T00:00:00"/>
    <x v="0"/>
    <n v="10"/>
    <n v="225000"/>
    <x v="0"/>
    <s v="Fri"/>
  </r>
  <r>
    <d v="2024-04-20T00:00:00"/>
    <x v="0"/>
    <n v="14"/>
    <n v="280000"/>
    <x v="0"/>
    <s v="Sat"/>
  </r>
  <r>
    <d v="2024-04-21T00:00:00"/>
    <x v="0"/>
    <n v="16"/>
    <n v="336000"/>
    <x v="0"/>
    <s v="Sun"/>
  </r>
  <r>
    <d v="2024-04-22T00:00:00"/>
    <x v="0"/>
    <n v="10"/>
    <n v="233000"/>
    <x v="0"/>
    <s v="Mon"/>
  </r>
  <r>
    <d v="2024-04-23T00:00:00"/>
    <x v="0"/>
    <n v="11"/>
    <n v="238000"/>
    <x v="0"/>
    <s v="Tue"/>
  </r>
  <r>
    <d v="2024-04-24T00:00:00"/>
    <x v="0"/>
    <n v="12"/>
    <n v="242000"/>
    <x v="0"/>
    <s v="Wed"/>
  </r>
  <r>
    <d v="2024-04-25T00:00:00"/>
    <x v="0"/>
    <n v="10"/>
    <n v="211000"/>
    <x v="0"/>
    <s v="Thu"/>
  </r>
  <r>
    <d v="2024-04-26T00:00:00"/>
    <x v="0"/>
    <n v="12"/>
    <n v="256000"/>
    <x v="0"/>
    <s v="Fri"/>
  </r>
  <r>
    <d v="2024-04-27T00:00:00"/>
    <x v="0"/>
    <n v="16"/>
    <n v="394000"/>
    <x v="0"/>
    <s v="Sat"/>
  </r>
  <r>
    <d v="2024-04-28T00:00:00"/>
    <x v="0"/>
    <n v="13"/>
    <n v="276000"/>
    <x v="0"/>
    <s v="Sun"/>
  </r>
  <r>
    <d v="2024-04-29T00:00:00"/>
    <x v="0"/>
    <n v="10"/>
    <n v="201000"/>
    <x v="0"/>
    <s v="Mon"/>
  </r>
  <r>
    <d v="2024-04-30T00:00:00"/>
    <x v="0"/>
    <n v="9"/>
    <n v="208000"/>
    <x v="0"/>
    <s v="Tue"/>
  </r>
  <r>
    <d v="2024-05-01T00:00:00"/>
    <x v="0"/>
    <n v="14"/>
    <n v="268000"/>
    <x v="1"/>
    <s v="Wed"/>
  </r>
  <r>
    <d v="2024-05-02T00:00:00"/>
    <x v="0"/>
    <n v="12"/>
    <n v="253000"/>
    <x v="1"/>
    <s v="Thu"/>
  </r>
  <r>
    <d v="2024-05-03T00:00:00"/>
    <x v="0"/>
    <n v="12"/>
    <n v="278000"/>
    <x v="1"/>
    <s v="Fri"/>
  </r>
  <r>
    <d v="2024-05-04T00:00:00"/>
    <x v="0"/>
    <n v="17"/>
    <n v="372000"/>
    <x v="1"/>
    <s v="Sat"/>
  </r>
  <r>
    <d v="2024-05-05T00:00:00"/>
    <x v="0"/>
    <n v="17"/>
    <n v="357000"/>
    <x v="1"/>
    <s v="Sun"/>
  </r>
  <r>
    <d v="2024-05-06T00:00:00"/>
    <x v="0"/>
    <n v="12"/>
    <n v="265000"/>
    <x v="1"/>
    <s v="Mon"/>
  </r>
  <r>
    <d v="2024-05-07T00:00:00"/>
    <x v="0"/>
    <n v="17"/>
    <n v="255000"/>
    <x v="1"/>
    <s v="Tue"/>
  </r>
  <r>
    <d v="2024-05-08T00:00:00"/>
    <x v="0"/>
    <n v="12"/>
    <n v="284000"/>
    <x v="1"/>
    <s v="Wed"/>
  </r>
  <r>
    <d v="2024-05-09T00:00:00"/>
    <x v="0"/>
    <n v="12"/>
    <n v="234000"/>
    <x v="1"/>
    <s v="Thu"/>
  </r>
  <r>
    <d v="2024-05-10T00:00:00"/>
    <x v="0"/>
    <n v="14"/>
    <n v="255000"/>
    <x v="1"/>
    <s v="Fri"/>
  </r>
  <r>
    <d v="2024-05-11T00:00:00"/>
    <x v="0"/>
    <n v="17"/>
    <n v="376000"/>
    <x v="1"/>
    <s v="Sat"/>
  </r>
  <r>
    <d v="2024-05-12T00:00:00"/>
    <x v="0"/>
    <n v="19"/>
    <n v="436000"/>
    <x v="1"/>
    <s v="Sun"/>
  </r>
  <r>
    <d v="2024-05-13T00:00:00"/>
    <x v="0"/>
    <n v="12"/>
    <n v="251000"/>
    <x v="1"/>
    <s v="Mon"/>
  </r>
  <r>
    <d v="2024-05-14T00:00:00"/>
    <x v="0"/>
    <n v="13"/>
    <n v="245000"/>
    <x v="1"/>
    <s v="Tue"/>
  </r>
  <r>
    <d v="2024-05-15T00:00:00"/>
    <x v="0"/>
    <n v="12"/>
    <n v="261000"/>
    <x v="1"/>
    <s v="Wed"/>
  </r>
  <r>
    <d v="2024-05-16T00:00:00"/>
    <x v="0"/>
    <n v="15"/>
    <n v="305000"/>
    <x v="1"/>
    <s v="Thu"/>
  </r>
  <r>
    <d v="2024-05-17T00:00:00"/>
    <x v="0"/>
    <n v="12"/>
    <n v="274000"/>
    <x v="1"/>
    <s v="Fri"/>
  </r>
  <r>
    <d v="2024-05-18T00:00:00"/>
    <x v="0"/>
    <n v="19"/>
    <n v="438000"/>
    <x v="1"/>
    <s v="Sat"/>
  </r>
  <r>
    <d v="2024-05-19T00:00:00"/>
    <x v="0"/>
    <n v="15"/>
    <n v="317000"/>
    <x v="1"/>
    <s v="Sun"/>
  </r>
  <r>
    <d v="2024-05-20T00:00:00"/>
    <x v="0"/>
    <n v="14"/>
    <n v="319000"/>
    <x v="1"/>
    <s v="Mon"/>
  </r>
  <r>
    <d v="2024-05-21T00:00:00"/>
    <x v="0"/>
    <n v="15"/>
    <n v="319000"/>
    <x v="1"/>
    <s v="Tue"/>
  </r>
  <r>
    <d v="2024-05-22T00:00:00"/>
    <x v="0"/>
    <n v="13"/>
    <n v="250000"/>
    <x v="1"/>
    <s v="Wed"/>
  </r>
  <r>
    <d v="2024-05-23T00:00:00"/>
    <x v="0"/>
    <n v="13"/>
    <n v="298000"/>
    <x v="1"/>
    <s v="Thu"/>
  </r>
  <r>
    <d v="2024-05-24T00:00:00"/>
    <x v="0"/>
    <n v="15"/>
    <n v="331000"/>
    <x v="1"/>
    <s v="Fri"/>
  </r>
  <r>
    <d v="2024-05-25T00:00:00"/>
    <x v="0"/>
    <n v="20"/>
    <n v="410000"/>
    <x v="1"/>
    <s v="Sat"/>
  </r>
  <r>
    <d v="2024-05-26T00:00:00"/>
    <x v="0"/>
    <n v="23"/>
    <n v="451000"/>
    <x v="1"/>
    <s v="Sun"/>
  </r>
  <r>
    <d v="2024-05-27T00:00:00"/>
    <x v="0"/>
    <n v="17"/>
    <n v="373000"/>
    <x v="1"/>
    <s v="Mon"/>
  </r>
  <r>
    <d v="2024-05-28T00:00:00"/>
    <x v="0"/>
    <n v="19"/>
    <n v="312000"/>
    <x v="1"/>
    <s v="Tue"/>
  </r>
  <r>
    <d v="2024-05-29T00:00:00"/>
    <x v="0"/>
    <n v="13"/>
    <n v="297000"/>
    <x v="1"/>
    <s v="Wed"/>
  </r>
  <r>
    <d v="2024-05-30T00:00:00"/>
    <x v="0"/>
    <n v="13"/>
    <n v="284000"/>
    <x v="1"/>
    <s v="Thu"/>
  </r>
  <r>
    <d v="2024-05-31T00:00:00"/>
    <x v="0"/>
    <n v="19"/>
    <n v="330000"/>
    <x v="1"/>
    <s v="Fri"/>
  </r>
  <r>
    <d v="2024-06-01T00:00:00"/>
    <x v="0"/>
    <n v="20"/>
    <n v="419000"/>
    <x v="2"/>
    <s v="Sat"/>
  </r>
  <r>
    <d v="2024-06-02T00:00:00"/>
    <x v="0"/>
    <n v="22"/>
    <n v="422000"/>
    <x v="2"/>
    <s v="Sun"/>
  </r>
  <r>
    <d v="2024-06-03T00:00:00"/>
    <x v="0"/>
    <n v="14"/>
    <n v="313000"/>
    <x v="2"/>
    <s v="Mon"/>
  </r>
  <r>
    <d v="2024-06-04T00:00:00"/>
    <x v="0"/>
    <n v="20"/>
    <n v="339000"/>
    <x v="2"/>
    <s v="Tue"/>
  </r>
  <r>
    <d v="2024-06-05T00:00:00"/>
    <x v="0"/>
    <n v="15"/>
    <n v="286000"/>
    <x v="2"/>
    <s v="Wed"/>
  </r>
  <r>
    <d v="2024-06-06T00:00:00"/>
    <x v="0"/>
    <n v="12"/>
    <n v="273000"/>
    <x v="2"/>
    <s v="Thu"/>
  </r>
  <r>
    <d v="2024-06-07T00:00:00"/>
    <x v="0"/>
    <n v="11"/>
    <n v="246000"/>
    <x v="2"/>
    <s v="Fri"/>
  </r>
  <r>
    <d v="2024-06-08T00:00:00"/>
    <x v="0"/>
    <n v="30"/>
    <n v="501000"/>
    <x v="2"/>
    <s v="Sat"/>
  </r>
  <r>
    <d v="2024-06-09T00:00:00"/>
    <x v="0"/>
    <n v="23"/>
    <n v="454000"/>
    <x v="2"/>
    <s v="Sun"/>
  </r>
  <r>
    <d v="2024-06-10T00:00:00"/>
    <x v="0"/>
    <n v="18"/>
    <n v="381000"/>
    <x v="2"/>
    <s v="Mon"/>
  </r>
  <r>
    <d v="2024-06-11T00:00:00"/>
    <x v="0"/>
    <n v="17"/>
    <n v="333000"/>
    <x v="2"/>
    <s v="Tue"/>
  </r>
  <r>
    <d v="2024-06-12T00:00:00"/>
    <x v="0"/>
    <n v="13"/>
    <n v="311000"/>
    <x v="2"/>
    <s v="Wed"/>
  </r>
  <r>
    <d v="2024-06-13T00:00:00"/>
    <x v="0"/>
    <n v="19"/>
    <n v="354000"/>
    <x v="2"/>
    <s v="Thu"/>
  </r>
  <r>
    <d v="2024-06-14T00:00:00"/>
    <x v="0"/>
    <n v="16"/>
    <n v="337000"/>
    <x v="2"/>
    <s v="Fri"/>
  </r>
  <r>
    <d v="2024-06-15T00:00:00"/>
    <x v="0"/>
    <n v="22"/>
    <n v="409000"/>
    <x v="2"/>
    <s v="Sat"/>
  </r>
  <r>
    <d v="2024-06-16T00:00:00"/>
    <x v="0"/>
    <n v="18"/>
    <n v="429000"/>
    <x v="2"/>
    <s v="Sun"/>
  </r>
  <r>
    <d v="2024-06-17T00:00:00"/>
    <x v="0"/>
    <n v="19"/>
    <n v="407000"/>
    <x v="2"/>
    <s v="Mon"/>
  </r>
  <r>
    <d v="2024-06-18T00:00:00"/>
    <x v="0"/>
    <n v="18"/>
    <n v="361000"/>
    <x v="2"/>
    <s v="Tue"/>
  </r>
  <r>
    <d v="2024-06-19T00:00:00"/>
    <x v="0"/>
    <n v="21"/>
    <n v="365000"/>
    <x v="2"/>
    <s v="Wed"/>
  </r>
  <r>
    <d v="2024-06-20T00:00:00"/>
    <x v="0"/>
    <n v="14"/>
    <n v="343000"/>
    <x v="2"/>
    <s v="Thu"/>
  </r>
  <r>
    <d v="2024-06-21T00:00:00"/>
    <x v="0"/>
    <n v="15"/>
    <n v="330000"/>
    <x v="2"/>
    <s v="Fri"/>
  </r>
  <r>
    <d v="2024-06-22T00:00:00"/>
    <x v="0"/>
    <n v="24"/>
    <n v="532000"/>
    <x v="2"/>
    <s v="Sat"/>
  </r>
  <r>
    <d v="2024-06-23T00:00:00"/>
    <x v="0"/>
    <n v="21"/>
    <n v="486000"/>
    <x v="2"/>
    <s v="Sun"/>
  </r>
  <r>
    <d v="2024-06-24T00:00:00"/>
    <x v="0"/>
    <n v="15"/>
    <n v="334000"/>
    <x v="2"/>
    <s v="Mon"/>
  </r>
  <r>
    <d v="2024-06-25T00:00:00"/>
    <x v="0"/>
    <n v="18"/>
    <n v="359000"/>
    <x v="2"/>
    <s v="Tue"/>
  </r>
  <r>
    <d v="2024-06-26T00:00:00"/>
    <x v="0"/>
    <n v="17"/>
    <n v="332000"/>
    <x v="2"/>
    <s v="Wed"/>
  </r>
  <r>
    <d v="2024-06-27T00:00:00"/>
    <x v="0"/>
    <n v="19"/>
    <n v="375000"/>
    <x v="2"/>
    <s v="Thu"/>
  </r>
  <r>
    <d v="2024-06-28T00:00:00"/>
    <x v="0"/>
    <n v="17"/>
    <n v="412000"/>
    <x v="2"/>
    <s v="Fri"/>
  </r>
  <r>
    <d v="2024-06-29T00:00:00"/>
    <x v="0"/>
    <n v="26"/>
    <n v="467000"/>
    <x v="2"/>
    <s v="Sat"/>
  </r>
  <r>
    <d v="2024-06-30T00:00:00"/>
    <x v="0"/>
    <n v="30"/>
    <n v="585000"/>
    <x v="2"/>
    <s v="Sun"/>
  </r>
  <r>
    <d v="2024-07-01T00:00:00"/>
    <x v="0"/>
    <n v="9"/>
    <n v="193000"/>
    <x v="3"/>
    <s v="Mon"/>
  </r>
  <r>
    <d v="2024-07-02T00:00:00"/>
    <x v="0"/>
    <n v="10"/>
    <n v="211000"/>
    <x v="3"/>
    <s v="Tue"/>
  </r>
  <r>
    <d v="2024-07-03T00:00:00"/>
    <x v="0"/>
    <n v="9"/>
    <n v="192000"/>
    <x v="3"/>
    <s v="Wed"/>
  </r>
  <r>
    <d v="2024-07-04T00:00:00"/>
    <x v="0"/>
    <n v="11"/>
    <n v="206000"/>
    <x v="3"/>
    <s v="Thu"/>
  </r>
  <r>
    <d v="2024-07-05T00:00:00"/>
    <x v="0"/>
    <n v="12"/>
    <n v="213000"/>
    <x v="3"/>
    <s v="Fri"/>
  </r>
  <r>
    <d v="2024-07-06T00:00:00"/>
    <x v="0"/>
    <n v="13"/>
    <n v="279000"/>
    <x v="3"/>
    <s v="Sat"/>
  </r>
  <r>
    <d v="2024-07-07T00:00:00"/>
    <x v="0"/>
    <n v="12"/>
    <n v="273000"/>
    <x v="3"/>
    <s v="Sun"/>
  </r>
  <r>
    <d v="2024-07-08T00:00:00"/>
    <x v="0"/>
    <n v="9"/>
    <n v="201000"/>
    <x v="3"/>
    <s v="Mon"/>
  </r>
  <r>
    <d v="2024-07-09T00:00:00"/>
    <x v="0"/>
    <n v="9"/>
    <n v="199000"/>
    <x v="3"/>
    <s v="Tue"/>
  </r>
  <r>
    <d v="2024-07-10T00:00:00"/>
    <x v="0"/>
    <n v="9"/>
    <n v="184000"/>
    <x v="3"/>
    <s v="Wed"/>
  </r>
  <r>
    <d v="2024-07-11T00:00:00"/>
    <x v="0"/>
    <n v="10"/>
    <n v="213000"/>
    <x v="3"/>
    <s v="Thu"/>
  </r>
  <r>
    <d v="2024-07-12T00:00:00"/>
    <x v="0"/>
    <n v="11"/>
    <n v="229000"/>
    <x v="3"/>
    <s v="Fri"/>
  </r>
  <r>
    <d v="2024-07-13T00:00:00"/>
    <x v="0"/>
    <n v="15"/>
    <n v="331000"/>
    <x v="3"/>
    <s v="Sat"/>
  </r>
  <r>
    <d v="2024-07-14T00:00:00"/>
    <x v="0"/>
    <n v="17"/>
    <n v="324000"/>
    <x v="3"/>
    <s v="Sun"/>
  </r>
  <r>
    <d v="2024-07-15T00:00:00"/>
    <x v="0"/>
    <n v="13"/>
    <n v="279000"/>
    <x v="3"/>
    <s v="Mon"/>
  </r>
  <r>
    <d v="2024-07-16T00:00:00"/>
    <x v="0"/>
    <n v="11"/>
    <n v="232000"/>
    <x v="3"/>
    <s v="Tue"/>
  </r>
  <r>
    <d v="2024-07-17T00:00:00"/>
    <x v="0"/>
    <n v="10"/>
    <n v="216000"/>
    <x v="3"/>
    <s v="Wed"/>
  </r>
  <r>
    <d v="2024-07-18T00:00:00"/>
    <x v="0"/>
    <n v="13"/>
    <n v="270000"/>
    <x v="3"/>
    <s v="Thu"/>
  </r>
  <r>
    <d v="2024-07-19T00:00:00"/>
    <x v="0"/>
    <n v="8"/>
    <n v="205000"/>
    <x v="3"/>
    <s v="Fri"/>
  </r>
  <r>
    <d v="2024-07-20T00:00:00"/>
    <x v="0"/>
    <n v="14"/>
    <n v="345000"/>
    <x v="3"/>
    <s v="Sat"/>
  </r>
  <r>
    <d v="2024-07-21T00:00:00"/>
    <x v="0"/>
    <n v="12"/>
    <n v="286000"/>
    <x v="3"/>
    <s v="Sun"/>
  </r>
  <r>
    <d v="2024-07-22T00:00:00"/>
    <x v="0"/>
    <n v="14"/>
    <n v="241000"/>
    <x v="3"/>
    <s v="Mon"/>
  </r>
  <r>
    <d v="2024-07-23T00:00:00"/>
    <x v="0"/>
    <n v="9"/>
    <n v="188000"/>
    <x v="3"/>
    <s v="Tue"/>
  </r>
  <r>
    <d v="2024-07-24T00:00:00"/>
    <x v="0"/>
    <n v="13"/>
    <n v="256000"/>
    <x v="3"/>
    <s v="Wed"/>
  </r>
  <r>
    <d v="2024-07-25T00:00:00"/>
    <x v="0"/>
    <n v="11"/>
    <n v="232000"/>
    <x v="3"/>
    <s v="Thu"/>
  </r>
  <r>
    <d v="2024-07-26T00:00:00"/>
    <x v="0"/>
    <n v="13"/>
    <n v="214000"/>
    <x v="3"/>
    <s v="Fri"/>
  </r>
  <r>
    <d v="2024-07-27T00:00:00"/>
    <x v="0"/>
    <n v="16"/>
    <n v="381000"/>
    <x v="3"/>
    <s v="Sat"/>
  </r>
  <r>
    <d v="2024-07-28T00:00:00"/>
    <x v="0"/>
    <n v="15"/>
    <n v="353000"/>
    <x v="3"/>
    <s v="Sun"/>
  </r>
  <r>
    <d v="2024-07-29T00:00:00"/>
    <x v="0"/>
    <n v="13"/>
    <n v="242000"/>
    <x v="3"/>
    <s v="Mon"/>
  </r>
  <r>
    <d v="2024-07-30T00:00:00"/>
    <x v="0"/>
    <n v="12"/>
    <n v="224000"/>
    <x v="3"/>
    <s v="Tue"/>
  </r>
  <r>
    <d v="2024-07-31T00:00:00"/>
    <x v="0"/>
    <n v="12"/>
    <n v="242000"/>
    <x v="3"/>
    <s v="Wed"/>
  </r>
  <r>
    <d v="2024-08-01T00:00:00"/>
    <x v="0"/>
    <n v="21"/>
    <n v="437000"/>
    <x v="4"/>
    <s v="Thu"/>
  </r>
  <r>
    <d v="2024-08-02T00:00:00"/>
    <x v="0"/>
    <n v="22"/>
    <n v="479000"/>
    <x v="4"/>
    <s v="Fri"/>
  </r>
  <r>
    <d v="2024-08-03T00:00:00"/>
    <x v="0"/>
    <n v="26"/>
    <n v="664000"/>
    <x v="4"/>
    <s v="Sat"/>
  </r>
  <r>
    <d v="2024-08-04T00:00:00"/>
    <x v="0"/>
    <n v="28"/>
    <n v="576000"/>
    <x v="4"/>
    <s v="Sun"/>
  </r>
  <r>
    <d v="2024-08-05T00:00:00"/>
    <x v="0"/>
    <n v="19"/>
    <n v="429000"/>
    <x v="4"/>
    <s v="Mon"/>
  </r>
  <r>
    <d v="2024-08-06T00:00:00"/>
    <x v="0"/>
    <n v="20"/>
    <n v="432000"/>
    <x v="4"/>
    <s v="Tue"/>
  </r>
  <r>
    <d v="2024-08-07T00:00:00"/>
    <x v="0"/>
    <n v="16"/>
    <n v="396000"/>
    <x v="4"/>
    <s v="Wed"/>
  </r>
  <r>
    <d v="2024-08-08T00:00:00"/>
    <x v="0"/>
    <n v="19"/>
    <n v="433000"/>
    <x v="4"/>
    <s v="Thu"/>
  </r>
  <r>
    <d v="2024-08-09T00:00:00"/>
    <x v="0"/>
    <n v="19"/>
    <n v="458000"/>
    <x v="4"/>
    <s v="Fri"/>
  </r>
  <r>
    <d v="2024-08-10T00:00:00"/>
    <x v="0"/>
    <n v="36"/>
    <n v="680000"/>
    <x v="4"/>
    <s v="Sat"/>
  </r>
  <r>
    <d v="2024-08-11T00:00:00"/>
    <x v="0"/>
    <n v="35"/>
    <n v="723000"/>
    <x v="4"/>
    <s v="Sun"/>
  </r>
  <r>
    <d v="2024-08-12T00:00:00"/>
    <x v="0"/>
    <n v="22"/>
    <n v="431000"/>
    <x v="4"/>
    <s v="Mon"/>
  </r>
  <r>
    <d v="2024-08-13T00:00:00"/>
    <x v="0"/>
    <n v="21"/>
    <n v="497000"/>
    <x v="4"/>
    <s v="Tue"/>
  </r>
  <r>
    <d v="2024-08-14T00:00:00"/>
    <x v="0"/>
    <n v="20"/>
    <n v="453000"/>
    <x v="4"/>
    <s v="Wed"/>
  </r>
  <r>
    <d v="2024-08-15T00:00:00"/>
    <x v="0"/>
    <n v="28"/>
    <n v="575000"/>
    <x v="4"/>
    <s v="Thu"/>
  </r>
  <r>
    <d v="2024-08-16T00:00:00"/>
    <x v="0"/>
    <n v="24"/>
    <n v="476000"/>
    <x v="4"/>
    <s v="Fri"/>
  </r>
  <r>
    <d v="2024-08-17T00:00:00"/>
    <x v="0"/>
    <n v="31"/>
    <n v="691000"/>
    <x v="4"/>
    <s v="Sat"/>
  </r>
  <r>
    <d v="2024-08-18T00:00:00"/>
    <x v="0"/>
    <n v="31"/>
    <n v="599000"/>
    <x v="4"/>
    <s v="Sun"/>
  </r>
  <r>
    <d v="2024-08-19T00:00:00"/>
    <x v="0"/>
    <n v="23"/>
    <n v="446000"/>
    <x v="4"/>
    <s v="Mon"/>
  </r>
  <r>
    <d v="2024-08-20T00:00:00"/>
    <x v="0"/>
    <n v="23"/>
    <n v="497000"/>
    <x v="4"/>
    <s v="Tue"/>
  </r>
  <r>
    <d v="2024-08-21T00:00:00"/>
    <x v="0"/>
    <n v="18"/>
    <n v="471000"/>
    <x v="4"/>
    <s v="Wed"/>
  </r>
  <r>
    <d v="2024-08-22T00:00:00"/>
    <x v="0"/>
    <n v="25"/>
    <n v="509000"/>
    <x v="4"/>
    <s v="Thu"/>
  </r>
  <r>
    <d v="2024-08-23T00:00:00"/>
    <x v="0"/>
    <n v="21"/>
    <n v="417000"/>
    <x v="4"/>
    <s v="Fri"/>
  </r>
  <r>
    <d v="2024-08-24T00:00:00"/>
    <x v="0"/>
    <n v="39"/>
    <n v="724000"/>
    <x v="4"/>
    <s v="Sat"/>
  </r>
  <r>
    <d v="2024-08-25T00:00:00"/>
    <x v="0"/>
    <n v="34"/>
    <n v="621000"/>
    <x v="4"/>
    <s v="Sun"/>
  </r>
  <r>
    <d v="2024-08-26T00:00:00"/>
    <x v="0"/>
    <n v="27"/>
    <n v="587000"/>
    <x v="4"/>
    <s v="Mon"/>
  </r>
  <r>
    <d v="2024-08-27T00:00:00"/>
    <x v="0"/>
    <n v="22"/>
    <n v="489000"/>
    <x v="4"/>
    <s v="Tue"/>
  </r>
  <r>
    <d v="2024-08-28T00:00:00"/>
    <x v="0"/>
    <n v="27"/>
    <n v="561000"/>
    <x v="4"/>
    <s v="Wed"/>
  </r>
  <r>
    <d v="2024-08-29T00:00:00"/>
    <x v="0"/>
    <n v="20"/>
    <n v="437000"/>
    <x v="4"/>
    <s v="Thu"/>
  </r>
  <r>
    <d v="2024-08-30T00:00:00"/>
    <x v="0"/>
    <n v="25"/>
    <n v="532000"/>
    <x v="4"/>
    <s v="Fri"/>
  </r>
  <r>
    <d v="2024-08-31T00:00:00"/>
    <x v="0"/>
    <n v="30"/>
    <n v="639000"/>
    <x v="4"/>
    <s v="Sat"/>
  </r>
  <r>
    <d v="2024-09-01T00:00:00"/>
    <x v="0"/>
    <n v="37"/>
    <n v="670000"/>
    <x v="5"/>
    <s v="Sun"/>
  </r>
  <r>
    <d v="2024-09-02T00:00:00"/>
    <x v="0"/>
    <n v="26"/>
    <n v="518000"/>
    <x v="5"/>
    <s v="Mon"/>
  </r>
  <r>
    <d v="2024-09-03T00:00:00"/>
    <x v="0"/>
    <n v="24"/>
    <n v="503000"/>
    <x v="5"/>
    <s v="Tue"/>
  </r>
  <r>
    <d v="2024-09-04T00:00:00"/>
    <x v="0"/>
    <n v="28"/>
    <n v="535000"/>
    <x v="5"/>
    <s v="Wed"/>
  </r>
  <r>
    <d v="2024-09-05T00:00:00"/>
    <x v="0"/>
    <n v="28"/>
    <n v="563000"/>
    <x v="5"/>
    <s v="Thu"/>
  </r>
  <r>
    <d v="2024-09-06T00:00:00"/>
    <x v="0"/>
    <n v="29"/>
    <n v="560000"/>
    <x v="5"/>
    <s v="Fri"/>
  </r>
  <r>
    <d v="2024-09-07T00:00:00"/>
    <x v="0"/>
    <n v="35"/>
    <n v="717000"/>
    <x v="5"/>
    <s v="Sat"/>
  </r>
  <r>
    <d v="2024-09-08T00:00:00"/>
    <x v="0"/>
    <n v="28"/>
    <n v="627000"/>
    <x v="5"/>
    <s v="Sun"/>
  </r>
  <r>
    <d v="2024-09-09T00:00:00"/>
    <x v="0"/>
    <n v="24"/>
    <n v="490000"/>
    <x v="5"/>
    <s v="Mon"/>
  </r>
  <r>
    <d v="2024-09-10T00:00:00"/>
    <x v="0"/>
    <n v="25"/>
    <n v="525000"/>
    <x v="5"/>
    <s v="Tue"/>
  </r>
  <r>
    <d v="2024-09-11T00:00:00"/>
    <x v="0"/>
    <n v="19"/>
    <n v="423000"/>
    <x v="5"/>
    <s v="Wed"/>
  </r>
  <r>
    <d v="2024-09-12T00:00:00"/>
    <x v="0"/>
    <n v="26"/>
    <n v="580000"/>
    <x v="5"/>
    <s v="Thu"/>
  </r>
  <r>
    <d v="2024-09-13T00:00:00"/>
    <x v="0"/>
    <n v="22"/>
    <n v="529000"/>
    <x v="5"/>
    <s v="Fri"/>
  </r>
  <r>
    <d v="2024-09-14T00:00:00"/>
    <x v="0"/>
    <n v="43"/>
    <n v="726000"/>
    <x v="5"/>
    <s v="Sat"/>
  </r>
  <r>
    <d v="2024-09-15T00:00:00"/>
    <x v="0"/>
    <n v="36"/>
    <n v="819000"/>
    <x v="5"/>
    <s v="Sun"/>
  </r>
  <r>
    <d v="2024-09-16T00:00:00"/>
    <x v="0"/>
    <n v="29"/>
    <n v="586000"/>
    <x v="5"/>
    <s v="Mon"/>
  </r>
  <r>
    <d v="2024-09-17T00:00:00"/>
    <x v="0"/>
    <n v="26"/>
    <n v="564000"/>
    <x v="5"/>
    <s v="Tue"/>
  </r>
  <r>
    <d v="2024-09-18T00:00:00"/>
    <x v="0"/>
    <n v="22"/>
    <n v="498000"/>
    <x v="5"/>
    <s v="Wed"/>
  </r>
  <r>
    <d v="2024-09-19T00:00:00"/>
    <x v="0"/>
    <n v="25"/>
    <n v="573000"/>
    <x v="5"/>
    <s v="Thu"/>
  </r>
  <r>
    <d v="2024-09-20T00:00:00"/>
    <x v="0"/>
    <n v="25"/>
    <n v="578000"/>
    <x v="5"/>
    <s v="Fri"/>
  </r>
  <r>
    <d v="2024-09-21T00:00:00"/>
    <x v="0"/>
    <n v="33"/>
    <n v="699000"/>
    <x v="5"/>
    <s v="Sat"/>
  </r>
  <r>
    <d v="2024-09-22T00:00:00"/>
    <x v="0"/>
    <n v="35"/>
    <n v="851000"/>
    <x v="5"/>
    <s v="Sun"/>
  </r>
  <r>
    <d v="2024-09-23T00:00:00"/>
    <x v="0"/>
    <n v="29"/>
    <n v="594000"/>
    <x v="5"/>
    <s v="Mon"/>
  </r>
  <r>
    <d v="2024-09-24T00:00:00"/>
    <x v="0"/>
    <n v="22"/>
    <n v="456000"/>
    <x v="5"/>
    <s v="Tue"/>
  </r>
  <r>
    <d v="2024-09-25T00:00:00"/>
    <x v="0"/>
    <n v="26"/>
    <n v="577000"/>
    <x v="5"/>
    <s v="Wed"/>
  </r>
  <r>
    <d v="2024-09-26T00:00:00"/>
    <x v="0"/>
    <n v="25"/>
    <n v="500000"/>
    <x v="5"/>
    <s v="Thu"/>
  </r>
  <r>
    <d v="2024-09-27T00:00:00"/>
    <x v="0"/>
    <n v="25"/>
    <n v="640000"/>
    <x v="5"/>
    <s v="Fri"/>
  </r>
  <r>
    <d v="2024-09-28T00:00:00"/>
    <x v="0"/>
    <n v="37"/>
    <n v="853000"/>
    <x v="5"/>
    <s v="Sat"/>
  </r>
  <r>
    <d v="2024-09-29T00:00:00"/>
    <x v="0"/>
    <n v="28"/>
    <n v="703000"/>
    <x v="5"/>
    <s v="Sun"/>
  </r>
  <r>
    <d v="2024-09-30T00:00:00"/>
    <x v="0"/>
    <n v="25"/>
    <n v="526000"/>
    <x v="5"/>
    <s v="Mon"/>
  </r>
  <r>
    <d v="2024-10-01T00:00:00"/>
    <x v="0"/>
    <n v="29"/>
    <n v="584000"/>
    <x v="6"/>
    <s v="Tue"/>
  </r>
  <r>
    <d v="2024-10-02T00:00:00"/>
    <x v="0"/>
    <n v="26"/>
    <n v="564000"/>
    <x v="6"/>
    <s v="Wed"/>
  </r>
  <r>
    <d v="2024-10-03T00:00:00"/>
    <x v="0"/>
    <n v="30"/>
    <n v="666000"/>
    <x v="6"/>
    <s v="Thu"/>
  </r>
  <r>
    <d v="2024-10-04T00:00:00"/>
    <x v="0"/>
    <n v="31"/>
    <n v="621000"/>
    <x v="6"/>
    <s v="Fri"/>
  </r>
  <r>
    <d v="2024-10-05T00:00:00"/>
    <x v="0"/>
    <n v="35"/>
    <n v="769000"/>
    <x v="6"/>
    <s v="Sat"/>
  </r>
  <r>
    <d v="2024-10-06T00:00:00"/>
    <x v="0"/>
    <n v="40"/>
    <n v="838000"/>
    <x v="6"/>
    <s v="Sun"/>
  </r>
  <r>
    <d v="2024-10-07T00:00:00"/>
    <x v="0"/>
    <n v="19"/>
    <n v="461000"/>
    <x v="6"/>
    <s v="Mon"/>
  </r>
  <r>
    <d v="2024-10-08T00:00:00"/>
    <x v="0"/>
    <n v="30"/>
    <n v="597000"/>
    <x v="6"/>
    <s v="Tue"/>
  </r>
  <r>
    <d v="2024-10-09T00:00:00"/>
    <x v="0"/>
    <n v="27"/>
    <n v="630000"/>
    <x v="6"/>
    <s v="Wed"/>
  </r>
  <r>
    <d v="2024-10-10T00:00:00"/>
    <x v="0"/>
    <n v="29"/>
    <n v="570000"/>
    <x v="6"/>
    <s v="Thu"/>
  </r>
  <r>
    <d v="2024-10-11T00:00:00"/>
    <x v="0"/>
    <n v="28"/>
    <n v="539000"/>
    <x v="6"/>
    <s v="Fri"/>
  </r>
  <r>
    <d v="2024-10-12T00:00:00"/>
    <x v="0"/>
    <n v="43"/>
    <n v="839000"/>
    <x v="6"/>
    <s v="Sat"/>
  </r>
  <r>
    <d v="2024-10-13T00:00:00"/>
    <x v="0"/>
    <n v="51"/>
    <n v="950000"/>
    <x v="6"/>
    <s v="Sun"/>
  </r>
  <r>
    <d v="2024-10-14T00:00:00"/>
    <x v="0"/>
    <n v="28"/>
    <n v="593000"/>
    <x v="6"/>
    <s v="Mon"/>
  </r>
  <r>
    <d v="2024-10-15T00:00:00"/>
    <x v="0"/>
    <n v="22"/>
    <n v="516000"/>
    <x v="6"/>
    <s v="Tue"/>
  </r>
  <r>
    <d v="2024-10-16T00:00:00"/>
    <x v="0"/>
    <n v="31"/>
    <n v="665000"/>
    <x v="6"/>
    <s v="Wed"/>
  </r>
  <r>
    <d v="2024-10-17T00:00:00"/>
    <x v="0"/>
    <n v="21"/>
    <n v="472000"/>
    <x v="6"/>
    <s v="Thu"/>
  </r>
  <r>
    <d v="2024-10-18T00:00:00"/>
    <x v="0"/>
    <n v="25"/>
    <n v="611000"/>
    <x v="6"/>
    <s v="Fri"/>
  </r>
  <r>
    <d v="2024-10-19T00:00:00"/>
    <x v="0"/>
    <n v="35"/>
    <n v="750000"/>
    <x v="6"/>
    <s v="Sat"/>
  </r>
  <r>
    <d v="2024-10-20T00:00:00"/>
    <x v="0"/>
    <n v="41"/>
    <n v="871000"/>
    <x v="6"/>
    <s v="Sun"/>
  </r>
  <r>
    <d v="2024-10-21T00:00:00"/>
    <x v="0"/>
    <n v="26"/>
    <n v="533000"/>
    <x v="6"/>
    <s v="Mon"/>
  </r>
  <r>
    <d v="2024-10-22T00:00:00"/>
    <x v="0"/>
    <n v="37"/>
    <n v="660000"/>
    <x v="6"/>
    <s v="Tue"/>
  </r>
  <r>
    <d v="2024-10-23T00:00:00"/>
    <x v="0"/>
    <n v="27"/>
    <n v="601000"/>
    <x v="6"/>
    <s v="Wed"/>
  </r>
  <r>
    <d v="2024-10-24T00:00:00"/>
    <x v="0"/>
    <n v="28"/>
    <n v="483000"/>
    <x v="6"/>
    <s v="Thu"/>
  </r>
  <r>
    <d v="2024-10-25T00:00:00"/>
    <x v="0"/>
    <n v="21"/>
    <n v="468000"/>
    <x v="6"/>
    <s v="Fri"/>
  </r>
  <r>
    <d v="2024-10-26T00:00:00"/>
    <x v="0"/>
    <n v="37"/>
    <n v="774000"/>
    <x v="6"/>
    <s v="Sat"/>
  </r>
  <r>
    <d v="2024-10-27T00:00:00"/>
    <x v="0"/>
    <n v="39"/>
    <n v="903000"/>
    <x v="6"/>
    <s v="Sun"/>
  </r>
  <r>
    <d v="2024-10-28T00:00:00"/>
    <x v="0"/>
    <n v="28"/>
    <n v="592000"/>
    <x v="6"/>
    <s v="Mon"/>
  </r>
  <r>
    <d v="2024-10-29T00:00:00"/>
    <x v="0"/>
    <n v="30"/>
    <n v="589000"/>
    <x v="6"/>
    <s v="Tue"/>
  </r>
  <r>
    <d v="2024-10-30T00:00:00"/>
    <x v="0"/>
    <n v="26"/>
    <n v="571000"/>
    <x v="6"/>
    <s v="Wed"/>
  </r>
  <r>
    <d v="2024-10-31T00:00:00"/>
    <x v="0"/>
    <n v="32"/>
    <n v="628000"/>
    <x v="6"/>
    <s v="Thu"/>
  </r>
  <r>
    <d v="2024-11-01T00:00:00"/>
    <x v="0"/>
    <n v="29"/>
    <n v="607000"/>
    <x v="7"/>
    <s v="Fri"/>
  </r>
  <r>
    <d v="2024-11-02T00:00:00"/>
    <x v="0"/>
    <n v="39"/>
    <n v="824000"/>
    <x v="7"/>
    <s v="Sat"/>
  </r>
  <r>
    <d v="2024-11-03T00:00:00"/>
    <x v="0"/>
    <n v="35"/>
    <n v="723000"/>
    <x v="7"/>
    <s v="Sun"/>
  </r>
  <r>
    <d v="2024-11-04T00:00:00"/>
    <x v="0"/>
    <n v="32"/>
    <n v="656000"/>
    <x v="7"/>
    <s v="Mon"/>
  </r>
  <r>
    <d v="2024-11-05T00:00:00"/>
    <x v="0"/>
    <n v="34"/>
    <n v="666000"/>
    <x v="7"/>
    <s v="Tue"/>
  </r>
  <r>
    <d v="2024-11-06T00:00:00"/>
    <x v="0"/>
    <n v="25"/>
    <n v="510000"/>
    <x v="7"/>
    <s v="Wed"/>
  </r>
  <r>
    <d v="2024-11-07T00:00:00"/>
    <x v="0"/>
    <n v="43"/>
    <n v="722000"/>
    <x v="7"/>
    <s v="Thu"/>
  </r>
  <r>
    <d v="2024-11-08T00:00:00"/>
    <x v="0"/>
    <n v="30"/>
    <n v="630000"/>
    <x v="7"/>
    <s v="Fri"/>
  </r>
  <r>
    <d v="2024-11-09T00:00:00"/>
    <x v="0"/>
    <n v="41"/>
    <n v="765000"/>
    <x v="7"/>
    <s v="Sat"/>
  </r>
  <r>
    <d v="2024-11-10T00:00:00"/>
    <x v="0"/>
    <n v="28"/>
    <n v="651000"/>
    <x v="7"/>
    <s v="Sun"/>
  </r>
  <r>
    <d v="2024-11-11T00:00:00"/>
    <x v="0"/>
    <n v="27"/>
    <n v="626000"/>
    <x v="7"/>
    <s v="Mon"/>
  </r>
  <r>
    <d v="2024-11-12T00:00:00"/>
    <x v="0"/>
    <n v="36"/>
    <n v="621000"/>
    <x v="7"/>
    <s v="Tue"/>
  </r>
  <r>
    <d v="2024-11-13T00:00:00"/>
    <x v="0"/>
    <n v="26"/>
    <n v="553000"/>
    <x v="7"/>
    <s v="Wed"/>
  </r>
  <r>
    <d v="2024-11-14T00:00:00"/>
    <x v="0"/>
    <n v="23"/>
    <n v="483000"/>
    <x v="7"/>
    <s v="Thu"/>
  </r>
  <r>
    <d v="2024-11-15T00:00:00"/>
    <x v="0"/>
    <n v="35"/>
    <n v="655000"/>
    <x v="7"/>
    <s v="Fri"/>
  </r>
  <r>
    <d v="2024-11-16T00:00:00"/>
    <x v="0"/>
    <n v="34"/>
    <n v="759000"/>
    <x v="7"/>
    <s v="Sat"/>
  </r>
  <r>
    <d v="2024-11-17T00:00:00"/>
    <x v="0"/>
    <n v="38"/>
    <n v="768000"/>
    <x v="7"/>
    <s v="Sun"/>
  </r>
  <r>
    <d v="2024-11-18T00:00:00"/>
    <x v="0"/>
    <n v="43"/>
    <n v="757000"/>
    <x v="7"/>
    <s v="Mon"/>
  </r>
  <r>
    <d v="2024-11-19T00:00:00"/>
    <x v="0"/>
    <n v="35"/>
    <n v="715000"/>
    <x v="7"/>
    <s v="Tue"/>
  </r>
  <r>
    <d v="2024-11-20T00:00:00"/>
    <x v="0"/>
    <n v="31"/>
    <n v="646000"/>
    <x v="7"/>
    <s v="Wed"/>
  </r>
  <r>
    <d v="2024-11-21T00:00:00"/>
    <x v="0"/>
    <n v="27"/>
    <n v="563000"/>
    <x v="7"/>
    <s v="Thu"/>
  </r>
  <r>
    <d v="2024-11-22T00:00:00"/>
    <x v="0"/>
    <n v="34"/>
    <n v="629000"/>
    <x v="7"/>
    <s v="Fri"/>
  </r>
  <r>
    <d v="2024-11-23T00:00:00"/>
    <x v="0"/>
    <n v="28"/>
    <n v="624000"/>
    <x v="7"/>
    <s v="Sat"/>
  </r>
  <r>
    <d v="2024-11-24T00:00:00"/>
    <x v="0"/>
    <n v="36"/>
    <n v="817000"/>
    <x v="7"/>
    <s v="Sun"/>
  </r>
  <r>
    <d v="2024-11-25T00:00:00"/>
    <x v="0"/>
    <n v="29"/>
    <n v="546000"/>
    <x v="7"/>
    <s v="Mon"/>
  </r>
  <r>
    <d v="2024-11-26T00:00:00"/>
    <x v="0"/>
    <n v="26"/>
    <n v="516000"/>
    <x v="7"/>
    <s v="Tue"/>
  </r>
  <r>
    <d v="2024-11-27T00:00:00"/>
    <x v="0"/>
    <n v="24"/>
    <n v="498000"/>
    <x v="7"/>
    <s v="Wed"/>
  </r>
  <r>
    <d v="2024-11-28T00:00:00"/>
    <x v="0"/>
    <n v="31"/>
    <n v="623000"/>
    <x v="7"/>
    <s v="Thu"/>
  </r>
  <r>
    <d v="2024-11-29T00:00:00"/>
    <x v="0"/>
    <n v="24"/>
    <n v="598000"/>
    <x v="7"/>
    <s v="Fri"/>
  </r>
  <r>
    <d v="2024-11-30T00:00:00"/>
    <x v="0"/>
    <n v="38"/>
    <n v="824000"/>
    <x v="7"/>
    <s v="Sat"/>
  </r>
  <r>
    <d v="2024-12-01T00:00:00"/>
    <x v="0"/>
    <n v="46"/>
    <n v="880000"/>
    <x v="8"/>
    <s v="Sun"/>
  </r>
  <r>
    <d v="2024-12-02T00:00:00"/>
    <x v="0"/>
    <n v="28"/>
    <n v="543000"/>
    <x v="8"/>
    <s v="Mon"/>
  </r>
  <r>
    <d v="2024-12-03T00:00:00"/>
    <x v="0"/>
    <n v="25"/>
    <n v="520000"/>
    <x v="8"/>
    <s v="Tue"/>
  </r>
  <r>
    <d v="2024-12-04T00:00:00"/>
    <x v="0"/>
    <n v="19"/>
    <n v="488000"/>
    <x v="8"/>
    <s v="Wed"/>
  </r>
  <r>
    <d v="2024-12-05T00:00:00"/>
    <x v="0"/>
    <n v="28"/>
    <n v="574000"/>
    <x v="8"/>
    <s v="Thu"/>
  </r>
  <r>
    <d v="2024-12-06T00:00:00"/>
    <x v="0"/>
    <n v="30"/>
    <n v="639000"/>
    <x v="8"/>
    <s v="Fri"/>
  </r>
  <r>
    <d v="2024-12-07T00:00:00"/>
    <x v="0"/>
    <n v="36"/>
    <n v="801000"/>
    <x v="8"/>
    <s v="Sat"/>
  </r>
  <r>
    <d v="2024-12-08T00:00:00"/>
    <x v="0"/>
    <n v="41"/>
    <n v="866000"/>
    <x v="8"/>
    <s v="Sun"/>
  </r>
  <r>
    <d v="2024-12-09T00:00:00"/>
    <x v="0"/>
    <n v="21"/>
    <n v="525000"/>
    <x v="8"/>
    <s v="Mon"/>
  </r>
  <r>
    <d v="2024-12-10T00:00:00"/>
    <x v="0"/>
    <n v="28"/>
    <n v="567000"/>
    <x v="8"/>
    <s v="Tue"/>
  </r>
  <r>
    <d v="2024-12-11T00:00:00"/>
    <x v="0"/>
    <n v="24"/>
    <n v="550000"/>
    <x v="8"/>
    <s v="Wed"/>
  </r>
  <r>
    <d v="2024-12-12T00:00:00"/>
    <x v="0"/>
    <n v="24"/>
    <n v="521000"/>
    <x v="8"/>
    <s v="Thu"/>
  </r>
  <r>
    <d v="2024-12-13T00:00:00"/>
    <x v="0"/>
    <n v="32"/>
    <n v="707000"/>
    <x v="8"/>
    <s v="Fri"/>
  </r>
  <r>
    <d v="2024-12-14T00:00:00"/>
    <x v="0"/>
    <n v="47"/>
    <n v="885000"/>
    <x v="8"/>
    <s v="Sat"/>
  </r>
  <r>
    <d v="2024-12-15T00:00:00"/>
    <x v="0"/>
    <n v="31"/>
    <n v="754000"/>
    <x v="8"/>
    <s v="Sun"/>
  </r>
  <r>
    <d v="2024-12-16T00:00:00"/>
    <x v="0"/>
    <n v="27"/>
    <n v="551000"/>
    <x v="8"/>
    <s v="Mon"/>
  </r>
  <r>
    <d v="2024-12-17T00:00:00"/>
    <x v="0"/>
    <n v="28"/>
    <n v="593000"/>
    <x v="8"/>
    <s v="Tue"/>
  </r>
  <r>
    <d v="2024-12-18T00:00:00"/>
    <x v="0"/>
    <n v="27"/>
    <n v="511000"/>
    <x v="8"/>
    <s v="Wed"/>
  </r>
  <r>
    <d v="2024-12-19T00:00:00"/>
    <x v="0"/>
    <n v="32"/>
    <n v="623000"/>
    <x v="8"/>
    <s v="Thu"/>
  </r>
  <r>
    <d v="2024-12-20T00:00:00"/>
    <x v="0"/>
    <n v="24"/>
    <n v="520000"/>
    <x v="8"/>
    <s v="Fri"/>
  </r>
  <r>
    <d v="2024-12-21T00:00:00"/>
    <x v="0"/>
    <n v="34"/>
    <n v="788000"/>
    <x v="8"/>
    <s v="Sat"/>
  </r>
  <r>
    <d v="2024-12-22T00:00:00"/>
    <x v="0"/>
    <n v="33"/>
    <n v="735000"/>
    <x v="8"/>
    <s v="Sun"/>
  </r>
  <r>
    <d v="2024-12-23T00:00:00"/>
    <x v="0"/>
    <n v="24"/>
    <n v="570000"/>
    <x v="8"/>
    <s v="Mon"/>
  </r>
  <r>
    <d v="2024-12-24T00:00:00"/>
    <x v="0"/>
    <n v="23"/>
    <n v="519000"/>
    <x v="8"/>
    <s v="Tue"/>
  </r>
  <r>
    <d v="2024-12-25T00:00:00"/>
    <x v="0"/>
    <n v="24"/>
    <n v="505000"/>
    <x v="8"/>
    <s v="Wed"/>
  </r>
  <r>
    <d v="2024-12-26T00:00:00"/>
    <x v="0"/>
    <n v="24"/>
    <n v="541000"/>
    <x v="8"/>
    <s v="Thu"/>
  </r>
  <r>
    <d v="2024-12-27T00:00:00"/>
    <x v="0"/>
    <n v="25"/>
    <n v="559000"/>
    <x v="8"/>
    <s v="Fri"/>
  </r>
  <r>
    <d v="2024-12-28T00:00:00"/>
    <x v="0"/>
    <n v="38"/>
    <n v="796000"/>
    <x v="8"/>
    <s v="Sat"/>
  </r>
  <r>
    <d v="2024-12-29T00:00:00"/>
    <x v="0"/>
    <n v="37"/>
    <n v="826000"/>
    <x v="8"/>
    <s v="Sun"/>
  </r>
  <r>
    <d v="2024-12-30T00:00:00"/>
    <x v="0"/>
    <n v="29"/>
    <n v="692000"/>
    <x v="8"/>
    <s v="Mon"/>
  </r>
  <r>
    <d v="2024-12-31T00:00:00"/>
    <x v="0"/>
    <n v="30"/>
    <n v="649000"/>
    <x v="8"/>
    <s v="Tue"/>
  </r>
  <r>
    <d v="2025-01-01T00:00:00"/>
    <x v="0"/>
    <n v="16"/>
    <n v="322000"/>
    <x v="9"/>
    <s v="Wed"/>
  </r>
  <r>
    <d v="2025-01-02T00:00:00"/>
    <x v="0"/>
    <n v="16"/>
    <n v="354000"/>
    <x v="9"/>
    <s v="Thu"/>
  </r>
  <r>
    <d v="2025-01-03T00:00:00"/>
    <x v="0"/>
    <n v="12"/>
    <n v="308000"/>
    <x v="9"/>
    <s v="Fri"/>
  </r>
  <r>
    <d v="2025-01-04T00:00:00"/>
    <x v="0"/>
    <n v="25"/>
    <n v="518000"/>
    <x v="9"/>
    <s v="Sat"/>
  </r>
  <r>
    <d v="2025-01-05T00:00:00"/>
    <x v="0"/>
    <n v="23"/>
    <n v="478000"/>
    <x v="9"/>
    <s v="Sun"/>
  </r>
  <r>
    <d v="2025-01-06T00:00:00"/>
    <x v="0"/>
    <n v="14"/>
    <n v="286000"/>
    <x v="9"/>
    <s v="Mon"/>
  </r>
  <r>
    <d v="2025-01-07T00:00:00"/>
    <x v="0"/>
    <n v="15"/>
    <n v="356000"/>
    <x v="9"/>
    <s v="Tue"/>
  </r>
  <r>
    <d v="2025-01-08T00:00:00"/>
    <x v="0"/>
    <n v="21"/>
    <n v="358000"/>
    <x v="9"/>
    <s v="Wed"/>
  </r>
  <r>
    <d v="2025-01-09T00:00:00"/>
    <x v="0"/>
    <n v="11"/>
    <n v="242000"/>
    <x v="9"/>
    <s v="Thu"/>
  </r>
  <r>
    <d v="2025-01-10T00:00:00"/>
    <x v="0"/>
    <n v="13"/>
    <n v="307000"/>
    <x v="9"/>
    <s v="Fri"/>
  </r>
  <r>
    <d v="2025-01-11T00:00:00"/>
    <x v="0"/>
    <n v="22"/>
    <n v="432000"/>
    <x v="9"/>
    <s v="Sat"/>
  </r>
  <r>
    <d v="2025-01-12T00:00:00"/>
    <x v="0"/>
    <n v="15"/>
    <n v="367000"/>
    <x v="9"/>
    <s v="Sun"/>
  </r>
  <r>
    <d v="2025-01-13T00:00:00"/>
    <x v="0"/>
    <n v="13"/>
    <n v="297000"/>
    <x v="9"/>
    <s v="Mon"/>
  </r>
  <r>
    <d v="2025-01-14T00:00:00"/>
    <x v="0"/>
    <n v="15"/>
    <n v="301000"/>
    <x v="9"/>
    <s v="Tue"/>
  </r>
  <r>
    <d v="2025-01-15T00:00:00"/>
    <x v="0"/>
    <n v="16"/>
    <n v="349000"/>
    <x v="9"/>
    <s v="Wed"/>
  </r>
  <r>
    <d v="2025-01-16T00:00:00"/>
    <x v="0"/>
    <n v="19"/>
    <n v="342000"/>
    <x v="9"/>
    <s v="Thu"/>
  </r>
  <r>
    <d v="2025-01-17T00:00:00"/>
    <x v="0"/>
    <n v="21"/>
    <n v="420000"/>
    <x v="9"/>
    <s v="Fri"/>
  </r>
  <r>
    <d v="2025-01-18T00:00:00"/>
    <x v="0"/>
    <n v="18"/>
    <n v="437000"/>
    <x v="9"/>
    <s v="Sat"/>
  </r>
  <r>
    <d v="2025-01-19T00:00:00"/>
    <x v="0"/>
    <n v="26"/>
    <n v="508000"/>
    <x v="9"/>
    <s v="Sun"/>
  </r>
  <r>
    <d v="2025-01-20T00:00:00"/>
    <x v="0"/>
    <n v="14"/>
    <n v="336000"/>
    <x v="9"/>
    <s v="Mon"/>
  </r>
  <r>
    <d v="2025-01-21T00:00:00"/>
    <x v="0"/>
    <n v="16"/>
    <n v="342000"/>
    <x v="9"/>
    <s v="Tue"/>
  </r>
  <r>
    <d v="2025-01-22T00:00:00"/>
    <x v="0"/>
    <n v="23"/>
    <n v="536000"/>
    <x v="9"/>
    <s v="Wed"/>
  </r>
  <r>
    <d v="2025-01-23T00:00:00"/>
    <x v="0"/>
    <n v="23"/>
    <n v="490000"/>
    <x v="9"/>
    <s v="Thu"/>
  </r>
  <r>
    <d v="2025-01-24T00:00:00"/>
    <x v="0"/>
    <n v="34"/>
    <n v="560000"/>
    <x v="9"/>
    <s v="Fri"/>
  </r>
  <r>
    <d v="2025-01-25T00:00:00"/>
    <x v="0"/>
    <n v="45"/>
    <n v="893000"/>
    <x v="9"/>
    <s v="Sat"/>
  </r>
  <r>
    <d v="2025-01-26T00:00:00"/>
    <x v="0"/>
    <n v="45"/>
    <n v="962000"/>
    <x v="9"/>
    <s v="Sun"/>
  </r>
  <r>
    <d v="2025-01-27T00:00:00"/>
    <x v="0"/>
    <n v="34"/>
    <n v="644000"/>
    <x v="9"/>
    <s v="Mon"/>
  </r>
  <r>
    <d v="2025-01-28T00:00:00"/>
    <x v="0"/>
    <n v="35"/>
    <n v="638000"/>
    <x v="9"/>
    <s v="Tue"/>
  </r>
  <r>
    <d v="2025-01-29T00:00:00"/>
    <x v="0"/>
    <n v="26"/>
    <n v="557000"/>
    <x v="9"/>
    <s v="Wed"/>
  </r>
  <r>
    <d v="2025-01-30T00:00:00"/>
    <x v="0"/>
    <n v="36"/>
    <n v="701000"/>
    <x v="9"/>
    <s v="Thu"/>
  </r>
  <r>
    <d v="2025-01-31T00:00:00"/>
    <x v="0"/>
    <n v="39"/>
    <n v="690000"/>
    <x v="9"/>
    <s v="Fri"/>
  </r>
  <r>
    <d v="2025-02-01T00:00:00"/>
    <x v="0"/>
    <n v="40"/>
    <n v="788000"/>
    <x v="10"/>
    <s v="Sat"/>
  </r>
  <r>
    <d v="2025-02-02T00:00:00"/>
    <x v="0"/>
    <n v="36"/>
    <n v="829000"/>
    <x v="10"/>
    <s v="Sun"/>
  </r>
  <r>
    <d v="2025-02-03T00:00:00"/>
    <x v="0"/>
    <n v="27"/>
    <n v="548000"/>
    <x v="10"/>
    <s v="Mon"/>
  </r>
  <r>
    <d v="2025-02-04T00:00:00"/>
    <x v="0"/>
    <n v="31"/>
    <n v="698000"/>
    <x v="10"/>
    <s v="Tue"/>
  </r>
  <r>
    <d v="2025-02-05T00:00:00"/>
    <x v="0"/>
    <n v="26"/>
    <n v="634000"/>
    <x v="10"/>
    <s v="Wed"/>
  </r>
  <r>
    <d v="2025-02-06T00:00:00"/>
    <x v="0"/>
    <n v="29"/>
    <n v="604000"/>
    <x v="10"/>
    <s v="Thu"/>
  </r>
  <r>
    <d v="2025-02-07T00:00:00"/>
    <x v="0"/>
    <n v="34"/>
    <n v="635000"/>
    <x v="10"/>
    <s v="Fri"/>
  </r>
  <r>
    <d v="2025-02-08T00:00:00"/>
    <x v="0"/>
    <n v="47"/>
    <n v="872000"/>
    <x v="10"/>
    <s v="Sat"/>
  </r>
  <r>
    <d v="2025-02-09T00:00:00"/>
    <x v="0"/>
    <n v="38"/>
    <n v="801000"/>
    <x v="10"/>
    <s v="Sun"/>
  </r>
  <r>
    <d v="2025-02-10T00:00:00"/>
    <x v="0"/>
    <n v="23"/>
    <n v="535000"/>
    <x v="10"/>
    <s v="Mon"/>
  </r>
  <r>
    <d v="2025-02-11T00:00:00"/>
    <x v="0"/>
    <n v="25"/>
    <n v="532000"/>
    <x v="10"/>
    <s v="Tue"/>
  </r>
  <r>
    <d v="2025-02-12T00:00:00"/>
    <x v="0"/>
    <n v="23"/>
    <n v="505000"/>
    <x v="10"/>
    <s v="Wed"/>
  </r>
  <r>
    <d v="2025-02-13T00:00:00"/>
    <x v="0"/>
    <n v="32"/>
    <n v="639000"/>
    <x v="10"/>
    <s v="Thu"/>
  </r>
  <r>
    <d v="2025-02-14T00:00:00"/>
    <x v="0"/>
    <n v="35"/>
    <n v="747000"/>
    <x v="10"/>
    <s v="Fri"/>
  </r>
  <r>
    <d v="2025-02-15T00:00:00"/>
    <x v="0"/>
    <n v="35"/>
    <n v="695000"/>
    <x v="10"/>
    <s v="Sat"/>
  </r>
  <r>
    <d v="2025-02-16T00:00:00"/>
    <x v="0"/>
    <n v="42"/>
    <n v="849000"/>
    <x v="10"/>
    <s v="Sun"/>
  </r>
  <r>
    <d v="2025-02-17T00:00:00"/>
    <x v="0"/>
    <n v="35"/>
    <n v="637000"/>
    <x v="10"/>
    <s v="Mon"/>
  </r>
  <r>
    <d v="2025-02-18T00:00:00"/>
    <x v="0"/>
    <n v="31"/>
    <n v="552000"/>
    <x v="10"/>
    <s v="Tue"/>
  </r>
  <r>
    <d v="2025-02-19T00:00:00"/>
    <x v="0"/>
    <n v="31"/>
    <n v="625000"/>
    <x v="10"/>
    <s v="Wed"/>
  </r>
  <r>
    <d v="2025-02-20T00:00:00"/>
    <x v="0"/>
    <n v="29"/>
    <n v="546000"/>
    <x v="10"/>
    <s v="Thu"/>
  </r>
  <r>
    <d v="2025-02-21T00:00:00"/>
    <x v="0"/>
    <n v="36"/>
    <n v="687000"/>
    <x v="10"/>
    <s v="Fri"/>
  </r>
  <r>
    <d v="2025-02-22T00:00:00"/>
    <x v="0"/>
    <n v="35"/>
    <n v="790000"/>
    <x v="10"/>
    <s v="Sat"/>
  </r>
  <r>
    <d v="2025-02-23T00:00:00"/>
    <x v="0"/>
    <n v="41"/>
    <n v="848000"/>
    <x v="10"/>
    <s v="Sun"/>
  </r>
  <r>
    <d v="2025-02-24T00:00:00"/>
    <x v="0"/>
    <n v="24"/>
    <n v="656000"/>
    <x v="10"/>
    <s v="Mon"/>
  </r>
  <r>
    <d v="2025-02-25T00:00:00"/>
    <x v="0"/>
    <n v="26"/>
    <n v="588000"/>
    <x v="10"/>
    <s v="Tue"/>
  </r>
  <r>
    <d v="2025-02-26T00:00:00"/>
    <x v="0"/>
    <n v="26"/>
    <n v="504000"/>
    <x v="10"/>
    <s v="Wed"/>
  </r>
  <r>
    <d v="2025-02-27T00:00:00"/>
    <x v="0"/>
    <n v="26"/>
    <n v="582000"/>
    <x v="10"/>
    <s v="Thu"/>
  </r>
  <r>
    <d v="2025-02-28T00:00:00"/>
    <x v="0"/>
    <n v="30"/>
    <n v="662000"/>
    <x v="10"/>
    <s v="Fri"/>
  </r>
  <r>
    <d v="2025-03-01T00:00:00"/>
    <x v="0"/>
    <n v="43"/>
    <n v="835000"/>
    <x v="11"/>
    <s v="Sat"/>
  </r>
  <r>
    <d v="2025-03-02T00:00:00"/>
    <x v="0"/>
    <n v="37"/>
    <n v="862000"/>
    <x v="11"/>
    <s v="Sun"/>
  </r>
  <r>
    <d v="2025-03-03T00:00:00"/>
    <x v="0"/>
    <n v="28"/>
    <n v="549000"/>
    <x v="11"/>
    <s v="Mon"/>
  </r>
  <r>
    <d v="2025-03-04T00:00:00"/>
    <x v="0"/>
    <n v="42"/>
    <n v="625000"/>
    <x v="11"/>
    <s v="Tue"/>
  </r>
  <r>
    <d v="2025-03-05T00:00:00"/>
    <x v="0"/>
    <n v="29"/>
    <n v="661000"/>
    <x v="11"/>
    <s v="Wed"/>
  </r>
  <r>
    <d v="2025-03-06T00:00:00"/>
    <x v="0"/>
    <n v="31"/>
    <n v="619000"/>
    <x v="11"/>
    <s v="Thu"/>
  </r>
  <r>
    <d v="2025-03-07T00:00:00"/>
    <x v="0"/>
    <n v="31"/>
    <n v="734000"/>
    <x v="11"/>
    <s v="Fri"/>
  </r>
  <r>
    <d v="2025-03-08T00:00:00"/>
    <x v="0"/>
    <n v="42"/>
    <n v="827000"/>
    <x v="11"/>
    <s v="Sat"/>
  </r>
  <r>
    <d v="2025-03-09T00:00:00"/>
    <x v="0"/>
    <n v="41"/>
    <n v="757000"/>
    <x v="11"/>
    <s v="Sun"/>
  </r>
  <r>
    <d v="2025-03-10T00:00:00"/>
    <x v="0"/>
    <n v="21"/>
    <n v="518000"/>
    <x v="11"/>
    <s v="Mon"/>
  </r>
  <r>
    <d v="2025-03-11T00:00:00"/>
    <x v="0"/>
    <n v="37"/>
    <n v="689000"/>
    <x v="11"/>
    <s v="Tue"/>
  </r>
  <r>
    <d v="2025-03-12T00:00:00"/>
    <x v="0"/>
    <n v="29"/>
    <n v="614000"/>
    <x v="11"/>
    <s v="Wed"/>
  </r>
  <r>
    <d v="2025-03-13T00:00:00"/>
    <x v="0"/>
    <n v="28"/>
    <n v="681000"/>
    <x v="11"/>
    <s v="Thu"/>
  </r>
  <r>
    <d v="2025-03-14T00:00:00"/>
    <x v="0"/>
    <n v="30"/>
    <n v="647000"/>
    <x v="11"/>
    <s v="Fri"/>
  </r>
  <r>
    <d v="2025-03-15T00:00:00"/>
    <x v="0"/>
    <n v="47"/>
    <n v="984000"/>
    <x v="11"/>
    <s v="Sat"/>
  </r>
  <r>
    <d v="2025-03-16T00:00:00"/>
    <x v="0"/>
    <n v="45"/>
    <n v="954000"/>
    <x v="11"/>
    <s v="Sun"/>
  </r>
  <r>
    <d v="2025-03-17T00:00:00"/>
    <x v="0"/>
    <n v="26"/>
    <n v="596000"/>
    <x v="11"/>
    <s v="Mon"/>
  </r>
  <r>
    <d v="2025-03-18T00:00:00"/>
    <x v="0"/>
    <n v="33"/>
    <n v="636000"/>
    <x v="11"/>
    <s v="Tue"/>
  </r>
  <r>
    <d v="2025-03-19T00:00:00"/>
    <x v="0"/>
    <n v="31"/>
    <n v="687000"/>
    <x v="11"/>
    <s v="Wed"/>
  </r>
  <r>
    <d v="2025-03-20T00:00:00"/>
    <x v="0"/>
    <n v="25"/>
    <n v="543000"/>
    <x v="11"/>
    <s v="Thu"/>
  </r>
  <r>
    <d v="2025-03-21T00:00:00"/>
    <x v="0"/>
    <n v="28"/>
    <n v="710000"/>
    <x v="11"/>
    <s v="Fri"/>
  </r>
  <r>
    <d v="2025-03-22T00:00:00"/>
    <x v="0"/>
    <n v="47"/>
    <n v="952000"/>
    <x v="11"/>
    <s v="Sat"/>
  </r>
  <r>
    <d v="2025-03-23T00:00:00"/>
    <x v="0"/>
    <n v="49"/>
    <n v="933000"/>
    <x v="11"/>
    <s v="Sun"/>
  </r>
  <r>
    <d v="2025-03-24T00:00:00"/>
    <x v="0"/>
    <n v="27"/>
    <n v="609000"/>
    <x v="11"/>
    <s v="Mon"/>
  </r>
  <r>
    <d v="2025-03-25T00:00:00"/>
    <x v="0"/>
    <n v="32"/>
    <n v="640000"/>
    <x v="11"/>
    <s v="Tue"/>
  </r>
  <r>
    <d v="2025-03-26T00:00:00"/>
    <x v="0"/>
    <n v="26"/>
    <n v="552000"/>
    <x v="11"/>
    <s v="Wed"/>
  </r>
  <r>
    <d v="2025-03-27T00:00:00"/>
    <x v="0"/>
    <n v="29"/>
    <n v="625000"/>
    <x v="11"/>
    <s v="Thu"/>
  </r>
  <r>
    <d v="2025-03-28T00:00:00"/>
    <x v="0"/>
    <n v="25"/>
    <n v="585000"/>
    <x v="11"/>
    <s v="Fri"/>
  </r>
  <r>
    <d v="2025-03-29T00:00:00"/>
    <x v="0"/>
    <n v="44"/>
    <n v="859000"/>
    <x v="11"/>
    <s v="Sat"/>
  </r>
  <r>
    <d v="2025-03-30T00:00:00"/>
    <x v="0"/>
    <n v="39"/>
    <n v="810000"/>
    <x v="11"/>
    <s v="Sun"/>
  </r>
  <r>
    <d v="2025-03-31T00:00:00"/>
    <x v="0"/>
    <n v="40"/>
    <n v="640000"/>
    <x v="11"/>
    <s v="Mon"/>
  </r>
  <r>
    <d v="2025-04-01T00:00:00"/>
    <x v="0"/>
    <n v="36"/>
    <n v="696000"/>
    <x v="12"/>
    <s v="Tue"/>
  </r>
  <r>
    <d v="2025-04-02T00:00:00"/>
    <x v="0"/>
    <n v="23"/>
    <n v="542000"/>
    <x v="12"/>
    <s v="Wed"/>
  </r>
  <r>
    <d v="2025-04-03T00:00:00"/>
    <x v="0"/>
    <n v="35"/>
    <n v="681000"/>
    <x v="12"/>
    <s v="Thu"/>
  </r>
  <r>
    <d v="2025-04-04T00:00:00"/>
    <x v="0"/>
    <n v="25"/>
    <n v="500000"/>
    <x v="12"/>
    <s v="Fri"/>
  </r>
  <r>
    <d v="2025-04-05T00:00:00"/>
    <x v="0"/>
    <n v="36"/>
    <n v="669000"/>
    <x v="12"/>
    <s v="Sat"/>
  </r>
  <r>
    <d v="2025-04-06T00:00:00"/>
    <x v="0"/>
    <n v="38"/>
    <n v="844000"/>
    <x v="12"/>
    <s v="Sun"/>
  </r>
  <r>
    <d v="2025-04-07T00:00:00"/>
    <x v="0"/>
    <n v="29"/>
    <n v="625000"/>
    <x v="12"/>
    <s v="Mon"/>
  </r>
  <r>
    <d v="2025-04-08T00:00:00"/>
    <x v="0"/>
    <n v="35"/>
    <n v="652000"/>
    <x v="12"/>
    <s v="Tue"/>
  </r>
  <r>
    <d v="2025-04-09T00:00:00"/>
    <x v="0"/>
    <n v="23"/>
    <n v="522000"/>
    <x v="12"/>
    <s v="Wed"/>
  </r>
  <r>
    <d v="2025-04-10T00:00:00"/>
    <x v="0"/>
    <n v="29"/>
    <n v="622000"/>
    <x v="12"/>
    <s v="Thu"/>
  </r>
  <r>
    <d v="2025-04-11T00:00:00"/>
    <x v="0"/>
    <n v="28"/>
    <n v="633000"/>
    <x v="12"/>
    <s v="Fri"/>
  </r>
  <r>
    <d v="2025-04-12T00:00:00"/>
    <x v="0"/>
    <n v="49"/>
    <n v="964000"/>
    <x v="12"/>
    <s v="Sat"/>
  </r>
  <r>
    <d v="2025-04-13T00:00:00"/>
    <x v="0"/>
    <n v="35"/>
    <n v="848000"/>
    <x v="12"/>
    <s v="Sun"/>
  </r>
  <r>
    <d v="2025-04-14T00:00:00"/>
    <x v="0"/>
    <n v="30"/>
    <n v="659000"/>
    <x v="12"/>
    <s v="Mon"/>
  </r>
  <r>
    <d v="2025-04-15T00:00:00"/>
    <x v="0"/>
    <n v="27"/>
    <n v="565000"/>
    <x v="12"/>
    <s v="Tue"/>
  </r>
  <r>
    <d v="2025-04-16T00:00:00"/>
    <x v="0"/>
    <n v="31"/>
    <n v="615000"/>
    <x v="12"/>
    <s v="Wed"/>
  </r>
  <r>
    <d v="2025-04-17T00:00:00"/>
    <x v="0"/>
    <n v="29"/>
    <n v="599000"/>
    <x v="12"/>
    <s v="Thu"/>
  </r>
  <r>
    <d v="2025-04-18T00:00:00"/>
    <x v="0"/>
    <n v="30"/>
    <n v="671000"/>
    <x v="12"/>
    <s v="Fri"/>
  </r>
  <r>
    <d v="2025-04-19T00:00:00"/>
    <x v="0"/>
    <n v="38"/>
    <n v="774000"/>
    <x v="12"/>
    <s v="Sat"/>
  </r>
  <r>
    <d v="2025-04-20T00:00:00"/>
    <x v="0"/>
    <n v="34"/>
    <n v="787000"/>
    <x v="12"/>
    <s v="Sun"/>
  </r>
  <r>
    <d v="2025-04-21T00:00:00"/>
    <x v="0"/>
    <n v="30"/>
    <n v="664000"/>
    <x v="12"/>
    <s v="Mon"/>
  </r>
  <r>
    <d v="2025-04-22T00:00:00"/>
    <x v="0"/>
    <n v="31"/>
    <n v="741000"/>
    <x v="12"/>
    <s v="Tue"/>
  </r>
  <r>
    <d v="2025-04-23T00:00:00"/>
    <x v="0"/>
    <n v="29"/>
    <n v="653000"/>
    <x v="12"/>
    <s v="Wed"/>
  </r>
  <r>
    <d v="2025-04-24T00:00:00"/>
    <x v="0"/>
    <n v="31"/>
    <n v="648000"/>
    <x v="12"/>
    <s v="Thu"/>
  </r>
  <r>
    <d v="2025-04-25T00:00:00"/>
    <x v="0"/>
    <n v="35"/>
    <n v="607000"/>
    <x v="12"/>
    <s v="Fri"/>
  </r>
  <r>
    <d v="2025-04-26T00:00:00"/>
    <x v="0"/>
    <n v="44"/>
    <n v="955000"/>
    <x v="12"/>
    <s v="Sat"/>
  </r>
  <r>
    <d v="2025-04-27T00:00:00"/>
    <x v="0"/>
    <n v="40"/>
    <n v="908000"/>
    <x v="12"/>
    <s v="Sun"/>
  </r>
  <r>
    <d v="2025-04-28T00:00:00"/>
    <x v="0"/>
    <n v="35"/>
    <n v="739000"/>
    <x v="12"/>
    <s v="Mon"/>
  </r>
  <r>
    <d v="2025-04-29T00:00:00"/>
    <x v="0"/>
    <n v="29"/>
    <n v="651000"/>
    <x v="12"/>
    <s v="Tue"/>
  </r>
  <r>
    <d v="2025-04-30T00:00:00"/>
    <x v="0"/>
    <n v="28"/>
    <n v="570000"/>
    <x v="12"/>
    <s v="Wed"/>
  </r>
  <r>
    <d v="2025-05-01T00:00:00"/>
    <x v="0"/>
    <n v="29"/>
    <n v="595000"/>
    <x v="13"/>
    <s v="Thu"/>
  </r>
  <r>
    <d v="2025-05-02T00:00:00"/>
    <x v="0"/>
    <n v="30"/>
    <n v="568000"/>
    <x v="13"/>
    <s v="Fri"/>
  </r>
  <r>
    <d v="2025-05-03T00:00:00"/>
    <x v="0"/>
    <n v="32"/>
    <n v="755000"/>
    <x v="13"/>
    <s v="Sat"/>
  </r>
  <r>
    <d v="2025-05-04T00:00:00"/>
    <x v="0"/>
    <n v="46"/>
    <n v="973000"/>
    <x v="13"/>
    <s v="Sun"/>
  </r>
  <r>
    <d v="2025-05-05T00:00:00"/>
    <x v="0"/>
    <n v="34"/>
    <n v="682000"/>
    <x v="13"/>
    <s v="Mon"/>
  </r>
  <r>
    <d v="2025-05-06T00:00:00"/>
    <x v="0"/>
    <n v="30"/>
    <n v="553000"/>
    <x v="13"/>
    <s v="Tue"/>
  </r>
  <r>
    <d v="2025-05-07T00:00:00"/>
    <x v="0"/>
    <n v="36"/>
    <n v="745000"/>
    <x v="13"/>
    <s v="Wed"/>
  </r>
  <r>
    <d v="2025-05-08T00:00:00"/>
    <x v="0"/>
    <n v="27"/>
    <n v="648000"/>
    <x v="13"/>
    <s v="Thu"/>
  </r>
  <r>
    <d v="2025-05-09T00:00:00"/>
    <x v="0"/>
    <n v="26"/>
    <n v="572000"/>
    <x v="13"/>
    <s v="Fri"/>
  </r>
  <r>
    <d v="2025-05-10T00:00:00"/>
    <x v="0"/>
    <n v="46"/>
    <n v="899000"/>
    <x v="13"/>
    <s v="Sat"/>
  </r>
  <r>
    <d v="2025-05-11T00:00:00"/>
    <x v="0"/>
    <n v="36"/>
    <n v="860000"/>
    <x v="13"/>
    <s v="Sun"/>
  </r>
  <r>
    <d v="2025-05-12T00:00:00"/>
    <x v="0"/>
    <n v="24"/>
    <n v="584000"/>
    <x v="13"/>
    <s v="Mon"/>
  </r>
  <r>
    <d v="2025-05-13T00:00:00"/>
    <x v="0"/>
    <n v="22"/>
    <n v="510000"/>
    <x v="13"/>
    <s v="Tue"/>
  </r>
  <r>
    <d v="2025-05-14T00:00:00"/>
    <x v="0"/>
    <n v="28"/>
    <n v="636000"/>
    <x v="13"/>
    <s v="Wed"/>
  </r>
  <r>
    <d v="2025-05-15T00:00:00"/>
    <x v="0"/>
    <n v="28"/>
    <n v="653000"/>
    <x v="13"/>
    <s v="Thu"/>
  </r>
  <r>
    <d v="2025-05-16T00:00:00"/>
    <x v="0"/>
    <n v="21"/>
    <n v="471000"/>
    <x v="13"/>
    <s v="Fri"/>
  </r>
  <r>
    <d v="2025-05-17T00:00:00"/>
    <x v="0"/>
    <n v="41"/>
    <n v="916000"/>
    <x v="13"/>
    <s v="Sat"/>
  </r>
  <r>
    <d v="2025-05-18T00:00:00"/>
    <x v="0"/>
    <n v="47"/>
    <n v="922000"/>
    <x v="13"/>
    <s v="Sun"/>
  </r>
  <r>
    <d v="2025-05-19T00:00:00"/>
    <x v="0"/>
    <n v="25"/>
    <n v="605000"/>
    <x v="13"/>
    <s v="Mon"/>
  </r>
  <r>
    <d v="2025-05-20T00:00:00"/>
    <x v="0"/>
    <n v="30"/>
    <n v="642000"/>
    <x v="13"/>
    <s v="Tue"/>
  </r>
  <r>
    <d v="2025-05-21T00:00:00"/>
    <x v="0"/>
    <n v="25"/>
    <n v="618000"/>
    <x v="13"/>
    <s v="Wed"/>
  </r>
  <r>
    <d v="2025-05-22T00:00:00"/>
    <x v="0"/>
    <n v="34"/>
    <n v="583000"/>
    <x v="13"/>
    <s v="Thu"/>
  </r>
  <r>
    <d v="2025-05-23T00:00:00"/>
    <x v="0"/>
    <n v="27"/>
    <n v="613000"/>
    <x v="13"/>
    <s v="Fri"/>
  </r>
  <r>
    <d v="2025-05-24T00:00:00"/>
    <x v="0"/>
    <n v="43"/>
    <n v="988000"/>
    <x v="13"/>
    <s v="Sat"/>
  </r>
  <r>
    <d v="2025-05-25T00:00:00"/>
    <x v="0"/>
    <n v="37"/>
    <n v="745000"/>
    <x v="13"/>
    <s v="Sun"/>
  </r>
  <r>
    <d v="2025-05-26T00:00:00"/>
    <x v="0"/>
    <n v="30"/>
    <n v="652000"/>
    <x v="13"/>
    <s v="Mon"/>
  </r>
  <r>
    <d v="2025-05-27T00:00:00"/>
    <x v="0"/>
    <n v="29"/>
    <n v="649000"/>
    <x v="13"/>
    <s v="Tue"/>
  </r>
  <r>
    <d v="2025-05-28T00:00:00"/>
    <x v="0"/>
    <n v="27"/>
    <n v="592000"/>
    <x v="13"/>
    <s v="Wed"/>
  </r>
  <r>
    <d v="2025-05-29T00:00:00"/>
    <x v="0"/>
    <n v="31"/>
    <n v="609000"/>
    <x v="13"/>
    <s v="Thu"/>
  </r>
  <r>
    <d v="2025-05-30T00:00:00"/>
    <x v="0"/>
    <n v="26"/>
    <n v="548000"/>
    <x v="13"/>
    <s v="Fri"/>
  </r>
  <r>
    <d v="2025-05-31T00:00:00"/>
    <x v="0"/>
    <n v="35"/>
    <n v="799000"/>
    <x v="13"/>
    <s v="Sat"/>
  </r>
  <r>
    <d v="2025-06-01T00:00:00"/>
    <x v="0"/>
    <n v="37"/>
    <n v="875000"/>
    <x v="14"/>
    <s v="Sun"/>
  </r>
  <r>
    <d v="2025-06-02T00:00:00"/>
    <x v="0"/>
    <n v="31"/>
    <n v="659000"/>
    <x v="14"/>
    <s v="Mon"/>
  </r>
  <r>
    <d v="2025-06-03T00:00:00"/>
    <x v="0"/>
    <n v="27"/>
    <n v="581000"/>
    <x v="14"/>
    <s v="Tue"/>
  </r>
  <r>
    <d v="2025-06-04T00:00:00"/>
    <x v="0"/>
    <n v="39"/>
    <n v="834000"/>
    <x v="14"/>
    <s v="Wed"/>
  </r>
  <r>
    <d v="2025-06-05T00:00:00"/>
    <x v="0"/>
    <n v="26"/>
    <n v="603000"/>
    <x v="14"/>
    <s v="Thu"/>
  </r>
  <r>
    <d v="2025-06-06T00:00:00"/>
    <x v="0"/>
    <n v="34"/>
    <n v="648000"/>
    <x v="14"/>
    <s v="Fri"/>
  </r>
  <r>
    <d v="2025-06-07T00:00:00"/>
    <x v="0"/>
    <n v="47"/>
    <n v="855000"/>
    <x v="14"/>
    <s v="Sat"/>
  </r>
  <r>
    <d v="2025-06-08T00:00:00"/>
    <x v="0"/>
    <n v="40"/>
    <n v="841000"/>
    <x v="14"/>
    <s v="Sun"/>
  </r>
  <r>
    <d v="2025-06-09T00:00:00"/>
    <x v="0"/>
    <n v="39"/>
    <n v="724000"/>
    <x v="14"/>
    <s v="Mon"/>
  </r>
  <r>
    <d v="2025-06-10T00:00:00"/>
    <x v="0"/>
    <n v="31"/>
    <n v="610000"/>
    <x v="14"/>
    <s v="Tue"/>
  </r>
  <r>
    <d v="2025-06-11T00:00:00"/>
    <x v="0"/>
    <n v="34"/>
    <n v="726000"/>
    <x v="14"/>
    <s v="Wed"/>
  </r>
  <r>
    <d v="2025-06-12T00:00:00"/>
    <x v="0"/>
    <n v="33"/>
    <n v="714000"/>
    <x v="14"/>
    <s v="Thu"/>
  </r>
  <r>
    <d v="2025-06-13T00:00:00"/>
    <x v="0"/>
    <n v="30"/>
    <n v="574000"/>
    <x v="14"/>
    <s v="Fri"/>
  </r>
  <r>
    <d v="2025-06-14T00:00:00"/>
    <x v="0"/>
    <n v="43"/>
    <n v="969000"/>
    <x v="14"/>
    <s v="Sat"/>
  </r>
  <r>
    <d v="2025-06-15T00:00:00"/>
    <x v="0"/>
    <n v="47"/>
    <n v="821000"/>
    <x v="14"/>
    <s v="Sun"/>
  </r>
  <r>
    <d v="2025-06-16T00:00:00"/>
    <x v="0"/>
    <n v="37"/>
    <n v="818000"/>
    <x v="14"/>
    <s v="Mon"/>
  </r>
  <r>
    <d v="2025-06-17T00:00:00"/>
    <x v="0"/>
    <n v="35"/>
    <n v="617000"/>
    <x v="14"/>
    <s v="Tue"/>
  </r>
  <r>
    <d v="2025-06-18T00:00:00"/>
    <x v="0"/>
    <n v="32"/>
    <n v="582000"/>
    <x v="14"/>
    <s v="Wed"/>
  </r>
  <r>
    <d v="2025-06-19T00:00:00"/>
    <x v="0"/>
    <n v="23"/>
    <n v="520000"/>
    <x v="14"/>
    <s v="Thu"/>
  </r>
  <r>
    <d v="2025-06-20T00:00:00"/>
    <x v="0"/>
    <n v="28"/>
    <n v="560000"/>
    <x v="14"/>
    <s v="Fri"/>
  </r>
  <r>
    <d v="2025-06-21T00:00:00"/>
    <x v="0"/>
    <n v="43"/>
    <n v="829000"/>
    <x v="14"/>
    <s v="Sat"/>
  </r>
  <r>
    <d v="2025-06-22T00:00:00"/>
    <x v="0"/>
    <n v="39"/>
    <n v="793000"/>
    <x v="14"/>
    <s v="Sun"/>
  </r>
  <r>
    <d v="2025-06-23T00:00:00"/>
    <x v="0"/>
    <n v="26"/>
    <n v="565000"/>
    <x v="14"/>
    <s v="Mon"/>
  </r>
  <r>
    <d v="2025-06-24T00:00:00"/>
    <x v="0"/>
    <n v="29"/>
    <n v="599000"/>
    <x v="14"/>
    <s v="Tue"/>
  </r>
  <r>
    <d v="2025-06-25T00:00:00"/>
    <x v="0"/>
    <n v="30"/>
    <n v="631000"/>
    <x v="14"/>
    <s v="Wed"/>
  </r>
  <r>
    <d v="2025-06-26T00:00:00"/>
    <x v="0"/>
    <n v="32"/>
    <n v="738000"/>
    <x v="14"/>
    <s v="Thu"/>
  </r>
  <r>
    <d v="2025-06-27T00:00:00"/>
    <x v="0"/>
    <n v="27"/>
    <n v="535000"/>
    <x v="14"/>
    <s v="Fri"/>
  </r>
  <r>
    <d v="2025-06-28T00:00:00"/>
    <x v="0"/>
    <n v="42"/>
    <n v="834000"/>
    <x v="14"/>
    <s v="Sat"/>
  </r>
  <r>
    <d v="2025-06-29T00:00:00"/>
    <x v="0"/>
    <n v="40"/>
    <n v="799000"/>
    <x v="14"/>
    <s v="Sun"/>
  </r>
  <r>
    <d v="2025-06-30T00:00:00"/>
    <x v="0"/>
    <n v="23"/>
    <n v="548000"/>
    <x v="14"/>
    <s v="Mon"/>
  </r>
  <r>
    <d v="2025-07-01T00:00:00"/>
    <x v="0"/>
    <n v="13"/>
    <n v="310000"/>
    <x v="15"/>
    <s v="Tue"/>
  </r>
  <r>
    <d v="2025-07-02T00:00:00"/>
    <x v="0"/>
    <n v="14"/>
    <n v="323000"/>
    <x v="15"/>
    <s v="Wed"/>
  </r>
  <r>
    <d v="2025-07-03T00:00:00"/>
    <x v="0"/>
    <n v="18"/>
    <n v="381000"/>
    <x v="15"/>
    <s v="Thu"/>
  </r>
  <r>
    <d v="2025-07-04T00:00:00"/>
    <x v="0"/>
    <n v="17"/>
    <n v="349000"/>
    <x v="15"/>
    <s v="Fri"/>
  </r>
  <r>
    <d v="2025-07-05T00:00:00"/>
    <x v="0"/>
    <n v="20"/>
    <n v="461000"/>
    <x v="15"/>
    <s v="Sat"/>
  </r>
  <r>
    <d v="2025-07-06T00:00:00"/>
    <x v="0"/>
    <n v="26"/>
    <n v="517000"/>
    <x v="15"/>
    <s v="Sun"/>
  </r>
  <r>
    <d v="2025-07-07T00:00:00"/>
    <x v="0"/>
    <n v="16"/>
    <n v="366000"/>
    <x v="15"/>
    <s v="Mon"/>
  </r>
  <r>
    <d v="2025-07-08T00:00:00"/>
    <x v="0"/>
    <n v="16"/>
    <n v="348000"/>
    <x v="15"/>
    <s v="Tue"/>
  </r>
  <r>
    <d v="2025-07-09T00:00:00"/>
    <x v="0"/>
    <n v="19"/>
    <n v="370000"/>
    <x v="15"/>
    <s v="Wed"/>
  </r>
  <r>
    <d v="2025-07-10T00:00:00"/>
    <x v="0"/>
    <n v="16"/>
    <n v="327000"/>
    <x v="15"/>
    <s v="Thu"/>
  </r>
  <r>
    <d v="2025-07-11T00:00:00"/>
    <x v="0"/>
    <n v="18"/>
    <n v="379000"/>
    <x v="15"/>
    <s v="Fri"/>
  </r>
  <r>
    <d v="2025-07-12T00:00:00"/>
    <x v="0"/>
    <n v="21"/>
    <n v="511000"/>
    <x v="15"/>
    <s v="Sat"/>
  </r>
  <r>
    <d v="2025-07-13T00:00:00"/>
    <x v="0"/>
    <n v="18"/>
    <n v="468000"/>
    <x v="15"/>
    <s v="Sun"/>
  </r>
  <r>
    <d v="2025-07-14T00:00:00"/>
    <x v="0"/>
    <n v="15"/>
    <n v="313000"/>
    <x v="15"/>
    <s v="Mon"/>
  </r>
  <r>
    <d v="2025-07-15T00:00:00"/>
    <x v="0"/>
    <n v="20"/>
    <n v="411000"/>
    <x v="15"/>
    <s v="Tue"/>
  </r>
  <r>
    <d v="2025-07-16T00:00:00"/>
    <x v="0"/>
    <n v="22"/>
    <n v="361000"/>
    <x v="15"/>
    <s v="Wed"/>
  </r>
  <r>
    <d v="2025-07-17T00:00:00"/>
    <x v="0"/>
    <n v="22"/>
    <n v="466000"/>
    <x v="15"/>
    <s v="Thu"/>
  </r>
  <r>
    <d v="2025-07-18T00:00:00"/>
    <x v="0"/>
    <n v="16"/>
    <n v="334000"/>
    <x v="15"/>
    <s v="Fri"/>
  </r>
  <r>
    <d v="2025-07-19T00:00:00"/>
    <x v="0"/>
    <n v="28"/>
    <n v="531000"/>
    <x v="15"/>
    <s v="Sat"/>
  </r>
  <r>
    <d v="2025-07-20T00:00:00"/>
    <x v="0"/>
    <n v="21"/>
    <n v="468000"/>
    <x v="15"/>
    <s v="Sun"/>
  </r>
  <r>
    <d v="2025-07-21T00:00:00"/>
    <x v="0"/>
    <n v="21"/>
    <n v="367000"/>
    <x v="15"/>
    <s v="Mon"/>
  </r>
  <r>
    <d v="2025-07-22T00:00:00"/>
    <x v="0"/>
    <n v="19"/>
    <n v="388000"/>
    <x v="15"/>
    <s v="Tue"/>
  </r>
  <r>
    <d v="2025-07-23T00:00:00"/>
    <x v="0"/>
    <n v="15"/>
    <n v="330000"/>
    <x v="15"/>
    <s v="Wed"/>
  </r>
  <r>
    <d v="2025-07-24T00:00:00"/>
    <x v="0"/>
    <n v="19"/>
    <n v="355000"/>
    <x v="15"/>
    <s v="Thu"/>
  </r>
  <r>
    <d v="2025-07-25T00:00:00"/>
    <x v="0"/>
    <n v="16"/>
    <n v="364000"/>
    <x v="15"/>
    <s v="Fri"/>
  </r>
  <r>
    <d v="2025-07-26T00:00:00"/>
    <x v="0"/>
    <n v="21"/>
    <n v="496000"/>
    <x v="15"/>
    <s v="Sat"/>
  </r>
  <r>
    <d v="2025-07-27T00:00:00"/>
    <x v="0"/>
    <n v="29"/>
    <n v="520000"/>
    <x v="15"/>
    <s v="Sun"/>
  </r>
  <r>
    <d v="2025-07-28T00:00:00"/>
    <x v="0"/>
    <n v="22"/>
    <n v="396000"/>
    <x v="15"/>
    <s v="Mon"/>
  </r>
  <r>
    <d v="2025-07-29T00:00:00"/>
    <x v="0"/>
    <n v="18"/>
    <n v="389000"/>
    <x v="15"/>
    <s v="Tue"/>
  </r>
  <r>
    <d v="2025-07-30T00:00:00"/>
    <x v="0"/>
    <n v="18"/>
    <n v="369000"/>
    <x v="15"/>
    <s v="Wed"/>
  </r>
  <r>
    <d v="2025-07-31T00:00:00"/>
    <x v="0"/>
    <n v="19"/>
    <n v="347000"/>
    <x v="15"/>
    <s v="Thu"/>
  </r>
  <r>
    <d v="2025-08-01T00:00:00"/>
    <x v="0"/>
    <n v="28"/>
    <n v="580000"/>
    <x v="16"/>
    <s v="Fri"/>
  </r>
  <r>
    <d v="2025-08-02T00:00:00"/>
    <x v="0"/>
    <n v="40"/>
    <n v="829000"/>
    <x v="16"/>
    <s v="Sat"/>
  </r>
  <r>
    <d v="2025-08-03T00:00:00"/>
    <x v="0"/>
    <n v="41"/>
    <n v="848000"/>
    <x v="16"/>
    <s v="Sun"/>
  </r>
  <r>
    <d v="2025-08-04T00:00:00"/>
    <x v="0"/>
    <n v="31"/>
    <n v="699000"/>
    <x v="16"/>
    <s v="Mon"/>
  </r>
  <r>
    <d v="2025-08-05T00:00:00"/>
    <x v="0"/>
    <n v="29"/>
    <n v="631000"/>
    <x v="16"/>
    <s v="Tue"/>
  </r>
  <r>
    <d v="2025-08-06T00:00:00"/>
    <x v="0"/>
    <n v="23"/>
    <n v="573000"/>
    <x v="16"/>
    <s v="Wed"/>
  </r>
  <r>
    <d v="2025-08-07T00:00:00"/>
    <x v="0"/>
    <n v="29"/>
    <n v="696000"/>
    <x v="16"/>
    <s v="Thu"/>
  </r>
  <r>
    <d v="2025-08-08T00:00:00"/>
    <x v="0"/>
    <n v="27"/>
    <n v="603000"/>
    <x v="16"/>
    <s v="Fri"/>
  </r>
  <r>
    <d v="2025-08-09T00:00:00"/>
    <x v="0"/>
    <n v="36"/>
    <n v="828000"/>
    <x v="16"/>
    <s v="Sat"/>
  </r>
  <r>
    <d v="2025-08-10T00:00:00"/>
    <x v="0"/>
    <n v="37"/>
    <n v="877000"/>
    <x v="16"/>
    <s v="Sun"/>
  </r>
  <r>
    <d v="2025-08-11T00:00:00"/>
    <x v="0"/>
    <n v="31"/>
    <n v="687000"/>
    <x v="16"/>
    <s v="Mon"/>
  </r>
  <r>
    <d v="2025-08-12T00:00:00"/>
    <x v="0"/>
    <n v="27"/>
    <n v="498000"/>
    <x v="16"/>
    <s v="Tue"/>
  </r>
  <r>
    <d v="2025-08-13T00:00:00"/>
    <x v="0"/>
    <n v="26"/>
    <n v="583000"/>
    <x v="16"/>
    <s v="Wed"/>
  </r>
  <r>
    <d v="2025-08-14T00:00:00"/>
    <x v="0"/>
    <n v="32"/>
    <n v="668000"/>
    <x v="16"/>
    <s v="Thu"/>
  </r>
  <r>
    <d v="2025-08-15T00:00:00"/>
    <x v="0"/>
    <n v="26"/>
    <n v="633000"/>
    <x v="16"/>
    <s v="Fri"/>
  </r>
  <r>
    <d v="2025-08-16T00:00:00"/>
    <x v="0"/>
    <n v="39"/>
    <n v="822000"/>
    <x v="16"/>
    <s v="Sat"/>
  </r>
  <r>
    <d v="2025-08-17T00:00:00"/>
    <x v="0"/>
    <n v="39"/>
    <n v="851000"/>
    <x v="16"/>
    <s v="Sun"/>
  </r>
  <r>
    <d v="2025-08-18T00:00:00"/>
    <x v="0"/>
    <n v="35"/>
    <n v="749000"/>
    <x v="16"/>
    <s v="Mon"/>
  </r>
  <r>
    <d v="2025-08-19T00:00:00"/>
    <x v="0"/>
    <n v="26"/>
    <n v="628000"/>
    <x v="16"/>
    <s v="Tue"/>
  </r>
  <r>
    <d v="2025-08-20T00:00:00"/>
    <x v="0"/>
    <n v="33"/>
    <n v="705000"/>
    <x v="16"/>
    <s v="Wed"/>
  </r>
  <r>
    <d v="2025-08-21T00:00:00"/>
    <x v="0"/>
    <n v="35"/>
    <n v="711000"/>
    <x v="16"/>
    <s v="Thu"/>
  </r>
  <r>
    <d v="2025-08-22T00:00:00"/>
    <x v="0"/>
    <n v="29"/>
    <n v="629000"/>
    <x v="16"/>
    <s v="Fri"/>
  </r>
  <r>
    <d v="2025-08-23T00:00:00"/>
    <x v="0"/>
    <n v="47"/>
    <n v="942000"/>
    <x v="16"/>
    <s v="Sat"/>
  </r>
  <r>
    <d v="2025-08-24T00:00:00"/>
    <x v="0"/>
    <n v="40"/>
    <n v="861000"/>
    <x v="16"/>
    <s v="Sun"/>
  </r>
  <r>
    <d v="2025-08-25T00:00:00"/>
    <x v="0"/>
    <n v="30"/>
    <n v="619000"/>
    <x v="16"/>
    <s v="Mon"/>
  </r>
  <r>
    <d v="2025-08-26T00:00:00"/>
    <x v="0"/>
    <n v="27"/>
    <n v="585000"/>
    <x v="16"/>
    <s v="Tue"/>
  </r>
  <r>
    <d v="2025-08-27T00:00:00"/>
    <x v="0"/>
    <n v="29"/>
    <n v="718000"/>
    <x v="16"/>
    <s v="Wed"/>
  </r>
  <r>
    <d v="2025-08-28T00:00:00"/>
    <x v="0"/>
    <n v="31"/>
    <n v="634000"/>
    <x v="16"/>
    <s v="Thu"/>
  </r>
  <r>
    <d v="2025-08-29T00:00:00"/>
    <x v="0"/>
    <n v="30"/>
    <n v="624000"/>
    <x v="16"/>
    <s v="Fri"/>
  </r>
  <r>
    <d v="2025-08-30T00:00:00"/>
    <x v="0"/>
    <n v="39"/>
    <n v="802000"/>
    <x v="16"/>
    <s v="Sat"/>
  </r>
  <r>
    <d v="2025-08-31T00:00:00"/>
    <x v="0"/>
    <n v="48"/>
    <n v="1068000"/>
    <x v="16"/>
    <s v="Sun"/>
  </r>
  <r>
    <d v="2025-09-01T00:00:00"/>
    <x v="0"/>
    <n v="38"/>
    <n v="710000"/>
    <x v="17"/>
    <s v="Mon"/>
  </r>
  <r>
    <d v="2025-09-02T00:00:00"/>
    <x v="0"/>
    <n v="33"/>
    <n v="653000"/>
    <x v="17"/>
    <s v="Tue"/>
  </r>
  <r>
    <d v="2025-09-03T00:00:00"/>
    <x v="0"/>
    <n v="29"/>
    <n v="616000"/>
    <x v="17"/>
    <s v="Wed"/>
  </r>
  <r>
    <d v="2025-09-04T00:00:00"/>
    <x v="0"/>
    <n v="25"/>
    <n v="561000"/>
    <x v="17"/>
    <s v="Thu"/>
  </r>
  <r>
    <d v="2025-09-05T00:00:00"/>
    <x v="0"/>
    <n v="33"/>
    <n v="681000"/>
    <x v="17"/>
    <s v="Fri"/>
  </r>
  <r>
    <d v="2025-09-06T00:00:00"/>
    <x v="0"/>
    <n v="47"/>
    <n v="933000"/>
    <x v="17"/>
    <s v="Sat"/>
  </r>
  <r>
    <d v="2025-09-07T00:00:00"/>
    <x v="0"/>
    <n v="40"/>
    <n v="779000"/>
    <x v="17"/>
    <s v="Sun"/>
  </r>
  <r>
    <d v="2025-09-08T00:00:00"/>
    <x v="0"/>
    <n v="34"/>
    <n v="740000"/>
    <x v="17"/>
    <s v="Mon"/>
  </r>
  <r>
    <d v="2025-09-09T00:00:00"/>
    <x v="0"/>
    <n v="30"/>
    <n v="715000"/>
    <x v="17"/>
    <s v="Tue"/>
  </r>
  <r>
    <d v="2025-09-10T00:00:00"/>
    <x v="0"/>
    <n v="28"/>
    <n v="600000"/>
    <x v="17"/>
    <s v="Wed"/>
  </r>
  <r>
    <d v="2025-09-11T00:00:00"/>
    <x v="0"/>
    <n v="29"/>
    <n v="627000"/>
    <x v="17"/>
    <s v="Thu"/>
  </r>
  <r>
    <d v="2025-09-12T00:00:00"/>
    <x v="0"/>
    <n v="29"/>
    <n v="636000"/>
    <x v="17"/>
    <s v="Fri"/>
  </r>
  <r>
    <d v="2025-09-13T00:00:00"/>
    <x v="0"/>
    <n v="48"/>
    <n v="923000"/>
    <x v="17"/>
    <s v="Sat"/>
  </r>
  <r>
    <d v="2025-09-14T00:00:00"/>
    <x v="0"/>
    <n v="44"/>
    <n v="896000"/>
    <x v="17"/>
    <s v="Sun"/>
  </r>
  <r>
    <d v="2025-09-15T00:00:00"/>
    <x v="0"/>
    <n v="27"/>
    <n v="556000"/>
    <x v="17"/>
    <s v="Mon"/>
  </r>
  <r>
    <d v="2025-09-16T00:00:00"/>
    <x v="0"/>
    <n v="35"/>
    <n v="763000"/>
    <x v="17"/>
    <s v="Tue"/>
  </r>
  <r>
    <d v="2025-09-17T00:00:00"/>
    <x v="0"/>
    <n v="33"/>
    <n v="686000"/>
    <x v="17"/>
    <s v="Wed"/>
  </r>
  <r>
    <d v="2025-09-18T00:00:00"/>
    <x v="0"/>
    <n v="40"/>
    <n v="749000"/>
    <x v="17"/>
    <s v="Thu"/>
  </r>
  <r>
    <d v="2025-09-19T00:00:00"/>
    <x v="0"/>
    <n v="32"/>
    <n v="749000"/>
    <x v="17"/>
    <s v="Fri"/>
  </r>
  <r>
    <d v="2025-09-20T00:00:00"/>
    <x v="0"/>
    <n v="37"/>
    <n v="892000"/>
    <x v="17"/>
    <s v="Sat"/>
  </r>
  <r>
    <d v="2025-09-21T00:00:00"/>
    <x v="0"/>
    <n v="46"/>
    <n v="943000"/>
    <x v="17"/>
    <s v="Sun"/>
  </r>
  <r>
    <d v="2025-09-22T00:00:00"/>
    <x v="0"/>
    <n v="33"/>
    <n v="716000"/>
    <x v="17"/>
    <s v="Mon"/>
  </r>
  <r>
    <d v="2025-09-23T00:00:00"/>
    <x v="0"/>
    <n v="33"/>
    <n v="718000"/>
    <x v="17"/>
    <s v="Tue"/>
  </r>
  <r>
    <d v="2025-09-24T00:00:00"/>
    <x v="0"/>
    <n v="29"/>
    <n v="656000"/>
    <x v="17"/>
    <s v="Wed"/>
  </r>
  <r>
    <d v="2025-09-25T00:00:00"/>
    <x v="0"/>
    <n v="35"/>
    <n v="626000"/>
    <x v="17"/>
    <s v="Thu"/>
  </r>
  <r>
    <d v="2025-09-26T00:00:00"/>
    <x v="0"/>
    <n v="28"/>
    <n v="670000"/>
    <x v="17"/>
    <s v="Fri"/>
  </r>
  <r>
    <d v="2025-09-27T00:00:00"/>
    <x v="0"/>
    <n v="42"/>
    <n v="840000"/>
    <x v="17"/>
    <s v="Sat"/>
  </r>
  <r>
    <d v="2025-09-28T00:00:00"/>
    <x v="0"/>
    <n v="37"/>
    <n v="863000"/>
    <x v="17"/>
    <s v="Sun"/>
  </r>
  <r>
    <d v="2025-09-29T00:00:00"/>
    <x v="0"/>
    <n v="25"/>
    <n v="533000"/>
    <x v="17"/>
    <s v="Mon"/>
  </r>
  <r>
    <d v="2025-09-30T00:00:00"/>
    <x v="0"/>
    <n v="33"/>
    <n v="674000"/>
    <x v="17"/>
    <s v="Tue"/>
  </r>
  <r>
    <d v="2025-10-01T00:00:00"/>
    <x v="0"/>
    <n v="29"/>
    <n v="600000"/>
    <x v="18"/>
    <s v="Wed"/>
  </r>
  <r>
    <d v="2025-10-02T00:00:00"/>
    <x v="0"/>
    <n v="28"/>
    <n v="632000"/>
    <x v="18"/>
    <s v="Thu"/>
  </r>
  <r>
    <d v="2025-10-03T00:00:00"/>
    <x v="0"/>
    <n v="35"/>
    <n v="666000"/>
    <x v="18"/>
    <s v="Fri"/>
  </r>
  <r>
    <d v="2025-10-04T00:00:00"/>
    <x v="0"/>
    <n v="47"/>
    <n v="945000"/>
    <x v="18"/>
    <s v="Sat"/>
  </r>
  <r>
    <d v="2025-10-05T00:00:00"/>
    <x v="0"/>
    <n v="54"/>
    <n v="1089000"/>
    <x v="18"/>
    <s v="Sun"/>
  </r>
  <r>
    <d v="2025-10-06T00:00:00"/>
    <x v="0"/>
    <n v="39"/>
    <n v="684000"/>
    <x v="18"/>
    <s v="Mon"/>
  </r>
  <r>
    <d v="2025-10-07T00:00:00"/>
    <x v="0"/>
    <n v="24"/>
    <n v="575000"/>
    <x v="18"/>
    <s v="Tue"/>
  </r>
  <r>
    <d v="2025-10-08T00:00:00"/>
    <x v="0"/>
    <n v="31"/>
    <n v="679000"/>
    <x v="18"/>
    <s v="Wed"/>
  </r>
  <r>
    <d v="2025-10-09T00:00:00"/>
    <x v="0"/>
    <n v="30"/>
    <n v="631000"/>
    <x v="18"/>
    <s v="Thu"/>
  </r>
  <r>
    <d v="2025-10-10T00:00:00"/>
    <x v="0"/>
    <n v="30"/>
    <n v="698000"/>
    <x v="18"/>
    <s v="Fri"/>
  </r>
  <r>
    <d v="2025-10-11T00:00:00"/>
    <x v="0"/>
    <n v="45"/>
    <n v="855000"/>
    <x v="18"/>
    <s v="Sat"/>
  </r>
  <r>
    <d v="2025-10-12T00:00:00"/>
    <x v="0"/>
    <n v="41"/>
    <n v="854000"/>
    <x v="18"/>
    <s v="Sun"/>
  </r>
  <r>
    <d v="2025-10-13T00:00:00"/>
    <x v="0"/>
    <n v="26"/>
    <n v="637000"/>
    <x v="18"/>
    <s v="Mon"/>
  </r>
  <r>
    <d v="2025-10-14T00:00:00"/>
    <x v="0"/>
    <n v="27"/>
    <n v="630000"/>
    <x v="18"/>
    <s v="Tue"/>
  </r>
  <r>
    <d v="2025-10-15T00:00:00"/>
    <x v="0"/>
    <n v="33"/>
    <n v="549000"/>
    <x v="18"/>
    <s v="Wed"/>
  </r>
  <r>
    <d v="2025-10-16T00:00:00"/>
    <x v="0"/>
    <n v="44"/>
    <n v="627000"/>
    <x v="18"/>
    <s v="Thu"/>
  </r>
  <r>
    <d v="2025-10-17T00:00:00"/>
    <x v="0"/>
    <n v="35"/>
    <n v="672000"/>
    <x v="18"/>
    <s v="Fri"/>
  </r>
  <r>
    <d v="2025-10-18T00:00:00"/>
    <x v="0"/>
    <n v="45"/>
    <n v="1031000"/>
    <x v="18"/>
    <s v="Sat"/>
  </r>
  <r>
    <d v="2025-10-19T00:00:00"/>
    <x v="0"/>
    <n v="45"/>
    <n v="894000"/>
    <x v="18"/>
    <s v="Sun"/>
  </r>
  <r>
    <d v="2025-10-20T00:00:00"/>
    <x v="0"/>
    <n v="32"/>
    <n v="648000"/>
    <x v="18"/>
    <s v="Mon"/>
  </r>
  <r>
    <d v="2025-10-21T00:00:00"/>
    <x v="0"/>
    <n v="32"/>
    <n v="713000"/>
    <x v="18"/>
    <s v="Tue"/>
  </r>
  <r>
    <d v="2025-10-22T00:00:00"/>
    <x v="0"/>
    <n v="37"/>
    <n v="710000"/>
    <x v="18"/>
    <s v="Wed"/>
  </r>
  <r>
    <d v="2025-10-23T00:00:00"/>
    <x v="0"/>
    <n v="36"/>
    <n v="782000"/>
    <x v="18"/>
    <s v="Thu"/>
  </r>
  <r>
    <d v="2025-10-24T00:00:00"/>
    <x v="0"/>
    <n v="32"/>
    <n v="714000"/>
    <x v="18"/>
    <s v="Fri"/>
  </r>
  <r>
    <d v="2025-10-25T00:00:00"/>
    <x v="0"/>
    <n v="42"/>
    <n v="921000"/>
    <x v="18"/>
    <s v="Sat"/>
  </r>
  <r>
    <d v="2025-10-26T00:00:00"/>
    <x v="0"/>
    <n v="48"/>
    <n v="1047000"/>
    <x v="18"/>
    <s v="Sun"/>
  </r>
  <r>
    <d v="2025-10-27T00:00:00"/>
    <x v="0"/>
    <n v="39"/>
    <n v="778000"/>
    <x v="18"/>
    <s v="Mon"/>
  </r>
  <r>
    <d v="2025-10-28T00:00:00"/>
    <x v="0"/>
    <n v="29"/>
    <n v="643000"/>
    <x v="18"/>
    <s v="Tue"/>
  </r>
  <r>
    <d v="2025-10-29T00:00:00"/>
    <x v="0"/>
    <n v="34"/>
    <n v="686000"/>
    <x v="18"/>
    <s v="Wed"/>
  </r>
  <r>
    <d v="2025-10-30T00:00:00"/>
    <x v="0"/>
    <n v="24"/>
    <n v="562000"/>
    <x v="18"/>
    <s v="Thu"/>
  </r>
  <r>
    <d v="2025-10-31T00:00:00"/>
    <x v="0"/>
    <n v="25"/>
    <n v="652000"/>
    <x v="18"/>
    <s v="Fri"/>
  </r>
  <r>
    <d v="2025-11-01T00:00:00"/>
    <x v="0"/>
    <n v="43"/>
    <n v="844000"/>
    <x v="19"/>
    <s v="Sat"/>
  </r>
  <r>
    <d v="2025-11-02T00:00:00"/>
    <x v="0"/>
    <n v="54"/>
    <n v="906000"/>
    <x v="19"/>
    <s v="Sun"/>
  </r>
  <r>
    <d v="2025-11-03T00:00:00"/>
    <x v="0"/>
    <n v="32"/>
    <n v="644000"/>
    <x v="19"/>
    <s v="Mon"/>
  </r>
  <r>
    <d v="2025-11-04T00:00:00"/>
    <x v="0"/>
    <n v="31"/>
    <n v="666000"/>
    <x v="19"/>
    <s v="Tue"/>
  </r>
  <r>
    <d v="2025-11-05T00:00:00"/>
    <x v="0"/>
    <n v="29"/>
    <n v="670000"/>
    <x v="19"/>
    <s v="Wed"/>
  </r>
  <r>
    <d v="2025-11-06T00:00:00"/>
    <x v="0"/>
    <n v="31"/>
    <n v="711000"/>
    <x v="19"/>
    <s v="Thu"/>
  </r>
  <r>
    <d v="2025-11-07T00:00:00"/>
    <x v="0"/>
    <n v="36"/>
    <n v="694000"/>
    <x v="19"/>
    <s v="Fri"/>
  </r>
  <r>
    <d v="2025-11-08T00:00:00"/>
    <x v="0"/>
    <n v="45"/>
    <n v="876000"/>
    <x v="19"/>
    <s v="Sat"/>
  </r>
  <r>
    <d v="2025-11-09T00:00:00"/>
    <x v="0"/>
    <n v="34"/>
    <n v="809000"/>
    <x v="19"/>
    <s v="Sun"/>
  </r>
  <r>
    <d v="2025-11-10T00:00:00"/>
    <x v="0"/>
    <n v="41"/>
    <n v="762000"/>
    <x v="19"/>
    <s v="Mon"/>
  </r>
  <r>
    <d v="2025-11-11T00:00:00"/>
    <x v="0"/>
    <n v="33"/>
    <n v="775000"/>
    <x v="19"/>
    <s v="Tue"/>
  </r>
  <r>
    <d v="2025-11-12T00:00:00"/>
    <x v="0"/>
    <n v="32"/>
    <n v="648000"/>
    <x v="19"/>
    <s v="Wed"/>
  </r>
  <r>
    <d v="2025-11-13T00:00:00"/>
    <x v="0"/>
    <n v="32"/>
    <n v="718000"/>
    <x v="19"/>
    <s v="Thu"/>
  </r>
  <r>
    <d v="2025-11-14T00:00:00"/>
    <x v="0"/>
    <n v="26"/>
    <n v="576000"/>
    <x v="19"/>
    <s v="Fri"/>
  </r>
  <r>
    <d v="2025-11-15T00:00:00"/>
    <x v="0"/>
    <n v="35"/>
    <n v="785000"/>
    <x v="19"/>
    <s v="Sat"/>
  </r>
  <r>
    <d v="2025-11-16T00:00:00"/>
    <x v="0"/>
    <n v="40"/>
    <n v="906000"/>
    <x v="19"/>
    <s v="Sun"/>
  </r>
  <r>
    <d v="2025-11-17T00:00:00"/>
    <x v="0"/>
    <n v="41"/>
    <n v="781000"/>
    <x v="19"/>
    <s v="Mon"/>
  </r>
  <r>
    <d v="2025-11-18T00:00:00"/>
    <x v="0"/>
    <n v="28"/>
    <n v="609000"/>
    <x v="19"/>
    <s v="Tue"/>
  </r>
  <r>
    <d v="2025-11-19T00:00:00"/>
    <x v="0"/>
    <n v="30"/>
    <n v="624000"/>
    <x v="19"/>
    <s v="Wed"/>
  </r>
  <r>
    <d v="2025-11-20T00:00:00"/>
    <x v="0"/>
    <n v="37"/>
    <n v="791000"/>
    <x v="19"/>
    <s v="Thu"/>
  </r>
  <r>
    <d v="2025-11-21T00:00:00"/>
    <x v="0"/>
    <n v="24"/>
    <n v="552000"/>
    <x v="19"/>
    <s v="Fri"/>
  </r>
  <r>
    <d v="2025-11-22T00:00:00"/>
    <x v="0"/>
    <n v="49"/>
    <n v="993000"/>
    <x v="19"/>
    <s v="Sat"/>
  </r>
  <r>
    <d v="2025-11-23T00:00:00"/>
    <x v="0"/>
    <n v="50"/>
    <n v="979000"/>
    <x v="19"/>
    <s v="Sun"/>
  </r>
  <r>
    <d v="2025-11-24T00:00:00"/>
    <x v="0"/>
    <n v="34"/>
    <n v="668000"/>
    <x v="19"/>
    <s v="Mon"/>
  </r>
  <r>
    <d v="2025-11-25T00:00:00"/>
    <x v="0"/>
    <n v="34"/>
    <n v="695000"/>
    <x v="19"/>
    <s v="Tue"/>
  </r>
  <r>
    <d v="2025-11-26T00:00:00"/>
    <x v="0"/>
    <n v="38"/>
    <n v="862000"/>
    <x v="19"/>
    <s v="Wed"/>
  </r>
  <r>
    <d v="2025-11-27T00:00:00"/>
    <x v="0"/>
    <n v="31"/>
    <n v="606000"/>
    <x v="19"/>
    <s v="Thu"/>
  </r>
  <r>
    <d v="2025-11-28T00:00:00"/>
    <x v="0"/>
    <n v="28"/>
    <n v="662000"/>
    <x v="19"/>
    <s v="Fri"/>
  </r>
  <r>
    <d v="2025-11-29T00:00:00"/>
    <x v="0"/>
    <n v="42"/>
    <n v="913000"/>
    <x v="19"/>
    <s v="Sat"/>
  </r>
  <r>
    <d v="2025-11-30T00:00:00"/>
    <x v="0"/>
    <n v="42"/>
    <n v="871000"/>
    <x v="19"/>
    <s v="Sun"/>
  </r>
  <r>
    <d v="2025-12-01T00:00:00"/>
    <x v="0"/>
    <n v="32"/>
    <n v="592000"/>
    <x v="20"/>
    <s v="Mon"/>
  </r>
  <r>
    <d v="2025-12-02T00:00:00"/>
    <x v="0"/>
    <n v="37"/>
    <n v="793000"/>
    <x v="20"/>
    <s v="Tue"/>
  </r>
  <r>
    <d v="2025-12-03T00:00:00"/>
    <x v="0"/>
    <n v="31"/>
    <n v="699000"/>
    <x v="20"/>
    <s v="Wed"/>
  </r>
  <r>
    <d v="2025-12-04T00:00:00"/>
    <x v="0"/>
    <n v="32"/>
    <n v="564000"/>
    <x v="20"/>
    <s v="Thu"/>
  </r>
  <r>
    <d v="2025-12-05T00:00:00"/>
    <x v="0"/>
    <n v="27"/>
    <n v="637000"/>
    <x v="20"/>
    <s v="Fri"/>
  </r>
  <r>
    <d v="2025-12-06T00:00:00"/>
    <x v="0"/>
    <n v="40"/>
    <n v="976000"/>
    <x v="20"/>
    <s v="Sat"/>
  </r>
  <r>
    <d v="2025-12-07T00:00:00"/>
    <x v="0"/>
    <n v="45"/>
    <n v="976000"/>
    <x v="20"/>
    <s v="Sun"/>
  </r>
  <r>
    <d v="2025-12-08T00:00:00"/>
    <x v="0"/>
    <n v="27"/>
    <n v="587000"/>
    <x v="20"/>
    <s v="Mon"/>
  </r>
  <r>
    <d v="2025-12-09T00:00:00"/>
    <x v="0"/>
    <n v="26"/>
    <n v="680000"/>
    <x v="20"/>
    <s v="Tue"/>
  </r>
  <r>
    <d v="2025-12-10T00:00:00"/>
    <x v="0"/>
    <n v="30"/>
    <n v="704000"/>
    <x v="20"/>
    <s v="Wed"/>
  </r>
  <r>
    <d v="2025-12-11T00:00:00"/>
    <x v="0"/>
    <n v="37"/>
    <n v="713000"/>
    <x v="20"/>
    <s v="Thu"/>
  </r>
  <r>
    <d v="2025-12-12T00:00:00"/>
    <x v="0"/>
    <n v="34"/>
    <n v="714000"/>
    <x v="20"/>
    <s v="Fri"/>
  </r>
  <r>
    <d v="2025-12-13T00:00:00"/>
    <x v="0"/>
    <n v="37"/>
    <n v="769000"/>
    <x v="20"/>
    <s v="Sat"/>
  </r>
  <r>
    <d v="2025-12-14T00:00:00"/>
    <x v="0"/>
    <n v="54"/>
    <n v="1114000"/>
    <x v="20"/>
    <s v="Sun"/>
  </r>
  <r>
    <d v="2025-12-15T00:00:00"/>
    <x v="0"/>
    <n v="43"/>
    <n v="702000"/>
    <x v="20"/>
    <s v="Mon"/>
  </r>
  <r>
    <d v="2025-12-16T00:00:00"/>
    <x v="0"/>
    <n v="36"/>
    <n v="812000"/>
    <x v="20"/>
    <s v="Tue"/>
  </r>
  <r>
    <d v="2025-12-17T00:00:00"/>
    <x v="0"/>
    <n v="45"/>
    <n v="885000"/>
    <x v="20"/>
    <s v="Wed"/>
  </r>
  <r>
    <d v="2025-12-18T00:00:00"/>
    <x v="0"/>
    <n v="32"/>
    <n v="677000"/>
    <x v="20"/>
    <s v="Thu"/>
  </r>
  <r>
    <d v="2025-12-19T00:00:00"/>
    <x v="0"/>
    <n v="29"/>
    <n v="603000"/>
    <x v="20"/>
    <s v="Fri"/>
  </r>
  <r>
    <d v="2025-12-20T00:00:00"/>
    <x v="0"/>
    <n v="45"/>
    <n v="1024000"/>
    <x v="20"/>
    <s v="Sat"/>
  </r>
  <r>
    <d v="2025-12-21T00:00:00"/>
    <x v="0"/>
    <n v="45"/>
    <n v="926000"/>
    <x v="20"/>
    <s v="Sun"/>
  </r>
  <r>
    <d v="2025-12-22T00:00:00"/>
    <x v="0"/>
    <n v="34"/>
    <n v="658000"/>
    <x v="20"/>
    <s v="Mon"/>
  </r>
  <r>
    <d v="2025-12-23T00:00:00"/>
    <x v="0"/>
    <n v="28"/>
    <n v="618000"/>
    <x v="20"/>
    <s v="Tue"/>
  </r>
  <r>
    <d v="2025-12-24T00:00:00"/>
    <x v="0"/>
    <n v="34"/>
    <n v="806000"/>
    <x v="20"/>
    <s v="Wed"/>
  </r>
  <r>
    <d v="2025-12-25T00:00:00"/>
    <x v="0"/>
    <n v="32"/>
    <n v="659000"/>
    <x v="20"/>
    <s v="Thu"/>
  </r>
  <r>
    <d v="2025-12-26T00:00:00"/>
    <x v="0"/>
    <n v="25"/>
    <n v="594000"/>
    <x v="20"/>
    <s v="Fri"/>
  </r>
  <r>
    <d v="2025-12-27T00:00:00"/>
    <x v="0"/>
    <n v="42"/>
    <n v="902000"/>
    <x v="20"/>
    <s v="Sat"/>
  </r>
  <r>
    <d v="2025-12-28T00:00:00"/>
    <x v="0"/>
    <n v="42"/>
    <n v="836000"/>
    <x v="20"/>
    <s v="Sun"/>
  </r>
  <r>
    <d v="2025-12-29T00:00:00"/>
    <x v="0"/>
    <n v="29"/>
    <n v="702000"/>
    <x v="20"/>
    <s v="Mon"/>
  </r>
  <r>
    <d v="2025-12-30T00:00:00"/>
    <x v="0"/>
    <n v="34"/>
    <n v="662000"/>
    <x v="20"/>
    <s v="Tue"/>
  </r>
  <r>
    <d v="2025-12-31T00:00:00"/>
    <x v="0"/>
    <n v="27"/>
    <n v="618000"/>
    <x v="20"/>
    <s v="Wed"/>
  </r>
  <r>
    <d v="2024-01-01T00:00:00"/>
    <x v="1"/>
    <n v="32"/>
    <n v="831000"/>
    <x v="21"/>
    <s v="Mon"/>
  </r>
  <r>
    <d v="2024-01-02T00:00:00"/>
    <x v="1"/>
    <n v="31"/>
    <n v="867000"/>
    <x v="21"/>
    <s v="Tue"/>
  </r>
  <r>
    <d v="2024-01-03T00:00:00"/>
    <x v="1"/>
    <n v="26"/>
    <n v="831000"/>
    <x v="21"/>
    <s v="Wed"/>
  </r>
  <r>
    <d v="2024-01-04T00:00:00"/>
    <x v="1"/>
    <n v="24"/>
    <n v="713000"/>
    <x v="21"/>
    <s v="Thu"/>
  </r>
  <r>
    <d v="2024-01-05T00:00:00"/>
    <x v="1"/>
    <n v="37"/>
    <n v="874000"/>
    <x v="21"/>
    <s v="Fri"/>
  </r>
  <r>
    <d v="2024-01-06T00:00:00"/>
    <x v="1"/>
    <n v="21"/>
    <n v="586000"/>
    <x v="21"/>
    <s v="Sat"/>
  </r>
  <r>
    <d v="2024-01-07T00:00:00"/>
    <x v="1"/>
    <n v="20"/>
    <n v="537000"/>
    <x v="21"/>
    <s v="Sun"/>
  </r>
  <r>
    <d v="2024-01-08T00:00:00"/>
    <x v="1"/>
    <n v="30"/>
    <n v="852000"/>
    <x v="21"/>
    <s v="Mon"/>
  </r>
  <r>
    <d v="2024-01-09T00:00:00"/>
    <x v="1"/>
    <n v="35"/>
    <n v="837000"/>
    <x v="21"/>
    <s v="Tue"/>
  </r>
  <r>
    <d v="2024-01-10T00:00:00"/>
    <x v="1"/>
    <n v="29"/>
    <n v="833000"/>
    <x v="21"/>
    <s v="Wed"/>
  </r>
  <r>
    <d v="2024-01-11T00:00:00"/>
    <x v="1"/>
    <n v="28"/>
    <n v="814000"/>
    <x v="21"/>
    <s v="Thu"/>
  </r>
  <r>
    <d v="2024-01-12T00:00:00"/>
    <x v="1"/>
    <n v="27"/>
    <n v="852000"/>
    <x v="21"/>
    <s v="Fri"/>
  </r>
  <r>
    <d v="2024-01-13T00:00:00"/>
    <x v="1"/>
    <n v="18"/>
    <n v="528000"/>
    <x v="21"/>
    <s v="Sat"/>
  </r>
  <r>
    <d v="2024-01-14T00:00:00"/>
    <x v="1"/>
    <n v="19"/>
    <n v="558000"/>
    <x v="21"/>
    <s v="Sun"/>
  </r>
  <r>
    <d v="2024-01-15T00:00:00"/>
    <x v="1"/>
    <n v="32"/>
    <n v="778000"/>
    <x v="21"/>
    <s v="Mon"/>
  </r>
  <r>
    <d v="2024-01-16T00:00:00"/>
    <x v="1"/>
    <n v="26"/>
    <n v="858000"/>
    <x v="21"/>
    <s v="Tue"/>
  </r>
  <r>
    <d v="2024-01-17T00:00:00"/>
    <x v="1"/>
    <n v="35"/>
    <n v="818000"/>
    <x v="21"/>
    <s v="Wed"/>
  </r>
  <r>
    <d v="2024-01-18T00:00:00"/>
    <x v="1"/>
    <n v="26"/>
    <n v="794000"/>
    <x v="21"/>
    <s v="Thu"/>
  </r>
  <r>
    <d v="2024-01-19T00:00:00"/>
    <x v="1"/>
    <n v="28"/>
    <n v="758000"/>
    <x v="21"/>
    <s v="Fri"/>
  </r>
  <r>
    <d v="2024-01-20T00:00:00"/>
    <x v="1"/>
    <n v="22"/>
    <n v="555000"/>
    <x v="21"/>
    <s v="Sat"/>
  </r>
  <r>
    <d v="2024-01-21T00:00:00"/>
    <x v="1"/>
    <n v="22"/>
    <n v="569000"/>
    <x v="21"/>
    <s v="Sun"/>
  </r>
  <r>
    <d v="2024-01-22T00:00:00"/>
    <x v="1"/>
    <n v="30"/>
    <n v="797000"/>
    <x v="21"/>
    <s v="Mon"/>
  </r>
  <r>
    <d v="2024-01-23T00:00:00"/>
    <x v="1"/>
    <n v="32"/>
    <n v="913000"/>
    <x v="21"/>
    <s v="Tue"/>
  </r>
  <r>
    <d v="2024-01-24T00:00:00"/>
    <x v="1"/>
    <n v="32"/>
    <n v="893000"/>
    <x v="21"/>
    <s v="Wed"/>
  </r>
  <r>
    <d v="2024-01-25T00:00:00"/>
    <x v="1"/>
    <n v="20"/>
    <n v="619000"/>
    <x v="21"/>
    <s v="Thu"/>
  </r>
  <r>
    <d v="2024-01-26T00:00:00"/>
    <x v="1"/>
    <n v="29"/>
    <n v="680000"/>
    <x v="21"/>
    <s v="Fri"/>
  </r>
  <r>
    <d v="2024-01-27T00:00:00"/>
    <x v="1"/>
    <n v="20"/>
    <n v="562000"/>
    <x v="21"/>
    <s v="Sat"/>
  </r>
  <r>
    <d v="2024-01-28T00:00:00"/>
    <x v="1"/>
    <n v="21"/>
    <n v="550000"/>
    <x v="21"/>
    <s v="Sun"/>
  </r>
  <r>
    <d v="2024-01-29T00:00:00"/>
    <x v="1"/>
    <n v="28"/>
    <n v="837000"/>
    <x v="21"/>
    <s v="Mon"/>
  </r>
  <r>
    <d v="2024-01-30T00:00:00"/>
    <x v="1"/>
    <n v="37"/>
    <n v="838000"/>
    <x v="21"/>
    <s v="Tue"/>
  </r>
  <r>
    <d v="2024-01-31T00:00:00"/>
    <x v="1"/>
    <n v="36"/>
    <n v="979000"/>
    <x v="21"/>
    <s v="Wed"/>
  </r>
  <r>
    <d v="2024-02-01T00:00:00"/>
    <x v="1"/>
    <n v="26"/>
    <n v="740000"/>
    <x v="22"/>
    <s v="Thu"/>
  </r>
  <r>
    <d v="2024-02-02T00:00:00"/>
    <x v="1"/>
    <n v="33"/>
    <n v="795000"/>
    <x v="22"/>
    <s v="Fri"/>
  </r>
  <r>
    <d v="2024-02-03T00:00:00"/>
    <x v="1"/>
    <n v="22"/>
    <n v="679000"/>
    <x v="22"/>
    <s v="Sat"/>
  </r>
  <r>
    <d v="2024-02-04T00:00:00"/>
    <x v="1"/>
    <n v="21"/>
    <n v="607000"/>
    <x v="22"/>
    <s v="Sun"/>
  </r>
  <r>
    <d v="2024-02-05T00:00:00"/>
    <x v="1"/>
    <n v="29"/>
    <n v="874000"/>
    <x v="22"/>
    <s v="Mon"/>
  </r>
  <r>
    <d v="2024-02-06T00:00:00"/>
    <x v="1"/>
    <n v="26"/>
    <n v="787000"/>
    <x v="22"/>
    <s v="Tue"/>
  </r>
  <r>
    <d v="2024-02-07T00:00:00"/>
    <x v="1"/>
    <n v="28"/>
    <n v="703000"/>
    <x v="22"/>
    <s v="Wed"/>
  </r>
  <r>
    <d v="2024-02-08T00:00:00"/>
    <x v="1"/>
    <n v="32"/>
    <n v="839000"/>
    <x v="22"/>
    <s v="Thu"/>
  </r>
  <r>
    <d v="2024-02-09T00:00:00"/>
    <x v="1"/>
    <n v="30"/>
    <n v="835000"/>
    <x v="22"/>
    <s v="Fri"/>
  </r>
  <r>
    <d v="2024-02-10T00:00:00"/>
    <x v="1"/>
    <n v="17"/>
    <n v="512000"/>
    <x v="22"/>
    <s v="Sat"/>
  </r>
  <r>
    <d v="2024-02-11T00:00:00"/>
    <x v="1"/>
    <n v="18"/>
    <n v="541000"/>
    <x v="22"/>
    <s v="Sun"/>
  </r>
  <r>
    <d v="2024-02-12T00:00:00"/>
    <x v="1"/>
    <n v="31"/>
    <n v="823000"/>
    <x v="22"/>
    <s v="Mon"/>
  </r>
  <r>
    <d v="2024-02-13T00:00:00"/>
    <x v="1"/>
    <n v="29"/>
    <n v="758000"/>
    <x v="22"/>
    <s v="Tue"/>
  </r>
  <r>
    <d v="2024-02-14T00:00:00"/>
    <x v="1"/>
    <n v="32"/>
    <n v="822000"/>
    <x v="22"/>
    <s v="Wed"/>
  </r>
  <r>
    <d v="2024-02-15T00:00:00"/>
    <x v="1"/>
    <n v="32"/>
    <n v="837000"/>
    <x v="22"/>
    <s v="Thu"/>
  </r>
  <r>
    <d v="2024-02-16T00:00:00"/>
    <x v="1"/>
    <n v="30"/>
    <n v="833000"/>
    <x v="22"/>
    <s v="Fri"/>
  </r>
  <r>
    <d v="2024-02-17T00:00:00"/>
    <x v="1"/>
    <n v="20"/>
    <n v="552000"/>
    <x v="22"/>
    <s v="Sat"/>
  </r>
  <r>
    <d v="2024-02-18T00:00:00"/>
    <x v="1"/>
    <n v="18"/>
    <n v="610000"/>
    <x v="22"/>
    <s v="Sun"/>
  </r>
  <r>
    <d v="2024-02-19T00:00:00"/>
    <x v="1"/>
    <n v="34"/>
    <n v="899000"/>
    <x v="22"/>
    <s v="Mon"/>
  </r>
  <r>
    <d v="2024-02-20T00:00:00"/>
    <x v="1"/>
    <n v="31"/>
    <n v="857000"/>
    <x v="22"/>
    <s v="Tue"/>
  </r>
  <r>
    <d v="2024-02-21T00:00:00"/>
    <x v="1"/>
    <n v="26"/>
    <n v="772000"/>
    <x v="22"/>
    <s v="Wed"/>
  </r>
  <r>
    <d v="2024-02-22T00:00:00"/>
    <x v="1"/>
    <n v="35"/>
    <n v="888000"/>
    <x v="22"/>
    <s v="Thu"/>
  </r>
  <r>
    <d v="2024-02-23T00:00:00"/>
    <x v="1"/>
    <n v="29"/>
    <n v="796000"/>
    <x v="22"/>
    <s v="Fri"/>
  </r>
  <r>
    <d v="2024-02-24T00:00:00"/>
    <x v="1"/>
    <n v="22"/>
    <n v="627000"/>
    <x v="22"/>
    <s v="Sat"/>
  </r>
  <r>
    <d v="2024-02-25T00:00:00"/>
    <x v="1"/>
    <n v="18"/>
    <n v="525000"/>
    <x v="22"/>
    <s v="Sun"/>
  </r>
  <r>
    <d v="2024-02-26T00:00:00"/>
    <x v="1"/>
    <n v="37"/>
    <n v="904000"/>
    <x v="22"/>
    <s v="Mon"/>
  </r>
  <r>
    <d v="2024-02-27T00:00:00"/>
    <x v="1"/>
    <n v="27"/>
    <n v="835000"/>
    <x v="22"/>
    <s v="Tue"/>
  </r>
  <r>
    <d v="2024-02-28T00:00:00"/>
    <x v="1"/>
    <n v="27"/>
    <n v="743000"/>
    <x v="22"/>
    <s v="Wed"/>
  </r>
  <r>
    <d v="2024-02-29T00:00:00"/>
    <x v="1"/>
    <n v="29"/>
    <n v="814000"/>
    <x v="22"/>
    <s v="Thu"/>
  </r>
  <r>
    <d v="2024-03-01T00:00:00"/>
    <x v="1"/>
    <n v="28"/>
    <n v="842000"/>
    <x v="23"/>
    <s v="Fri"/>
  </r>
  <r>
    <d v="2024-03-02T00:00:00"/>
    <x v="1"/>
    <n v="20"/>
    <n v="598000"/>
    <x v="23"/>
    <s v="Sat"/>
  </r>
  <r>
    <d v="2024-03-03T00:00:00"/>
    <x v="1"/>
    <n v="17"/>
    <n v="532000"/>
    <x v="23"/>
    <s v="Sun"/>
  </r>
  <r>
    <d v="2024-03-04T00:00:00"/>
    <x v="1"/>
    <n v="27"/>
    <n v="756000"/>
    <x v="23"/>
    <s v="Mon"/>
  </r>
  <r>
    <d v="2024-03-05T00:00:00"/>
    <x v="1"/>
    <n v="31"/>
    <n v="855000"/>
    <x v="23"/>
    <s v="Tue"/>
  </r>
  <r>
    <d v="2024-03-06T00:00:00"/>
    <x v="1"/>
    <n v="28"/>
    <n v="805000"/>
    <x v="23"/>
    <s v="Wed"/>
  </r>
  <r>
    <d v="2024-03-07T00:00:00"/>
    <x v="1"/>
    <n v="34"/>
    <n v="859000"/>
    <x v="23"/>
    <s v="Thu"/>
  </r>
  <r>
    <d v="2024-03-08T00:00:00"/>
    <x v="1"/>
    <n v="29"/>
    <n v="899000"/>
    <x v="23"/>
    <s v="Fri"/>
  </r>
  <r>
    <d v="2024-03-09T00:00:00"/>
    <x v="1"/>
    <n v="19"/>
    <n v="499000"/>
    <x v="23"/>
    <s v="Sat"/>
  </r>
  <r>
    <d v="2024-03-10T00:00:00"/>
    <x v="1"/>
    <n v="24"/>
    <n v="600000"/>
    <x v="23"/>
    <s v="Sun"/>
  </r>
  <r>
    <d v="2024-03-11T00:00:00"/>
    <x v="1"/>
    <n v="28"/>
    <n v="936000"/>
    <x v="23"/>
    <s v="Mon"/>
  </r>
  <r>
    <d v="2024-03-12T00:00:00"/>
    <x v="1"/>
    <n v="30"/>
    <n v="821000"/>
    <x v="23"/>
    <s v="Tue"/>
  </r>
  <r>
    <d v="2024-03-13T00:00:00"/>
    <x v="1"/>
    <n v="31"/>
    <n v="782000"/>
    <x v="23"/>
    <s v="Wed"/>
  </r>
  <r>
    <d v="2024-03-14T00:00:00"/>
    <x v="1"/>
    <n v="28"/>
    <n v="902000"/>
    <x v="23"/>
    <s v="Thu"/>
  </r>
  <r>
    <d v="2024-03-15T00:00:00"/>
    <x v="1"/>
    <n v="32"/>
    <n v="864000"/>
    <x v="23"/>
    <s v="Fri"/>
  </r>
  <r>
    <d v="2024-03-16T00:00:00"/>
    <x v="1"/>
    <n v="21"/>
    <n v="636000"/>
    <x v="23"/>
    <s v="Sat"/>
  </r>
  <r>
    <d v="2024-03-17T00:00:00"/>
    <x v="1"/>
    <n v="22"/>
    <n v="571000"/>
    <x v="23"/>
    <s v="Sun"/>
  </r>
  <r>
    <d v="2024-03-18T00:00:00"/>
    <x v="1"/>
    <n v="27"/>
    <n v="734000"/>
    <x v="23"/>
    <s v="Mon"/>
  </r>
  <r>
    <d v="2024-03-19T00:00:00"/>
    <x v="1"/>
    <n v="35"/>
    <n v="839000"/>
    <x v="23"/>
    <s v="Tue"/>
  </r>
  <r>
    <d v="2024-03-20T00:00:00"/>
    <x v="1"/>
    <n v="35"/>
    <n v="814000"/>
    <x v="23"/>
    <s v="Wed"/>
  </r>
  <r>
    <d v="2024-03-21T00:00:00"/>
    <x v="1"/>
    <n v="35"/>
    <n v="907000"/>
    <x v="23"/>
    <s v="Thu"/>
  </r>
  <r>
    <d v="2024-03-22T00:00:00"/>
    <x v="1"/>
    <n v="31"/>
    <n v="863000"/>
    <x v="23"/>
    <s v="Fri"/>
  </r>
  <r>
    <d v="2024-03-23T00:00:00"/>
    <x v="1"/>
    <n v="17"/>
    <n v="505000"/>
    <x v="23"/>
    <s v="Sat"/>
  </r>
  <r>
    <d v="2024-03-24T00:00:00"/>
    <x v="1"/>
    <n v="16"/>
    <n v="528000"/>
    <x v="23"/>
    <s v="Sun"/>
  </r>
  <r>
    <d v="2024-03-25T00:00:00"/>
    <x v="1"/>
    <n v="36"/>
    <n v="918000"/>
    <x v="23"/>
    <s v="Mon"/>
  </r>
  <r>
    <d v="2024-03-26T00:00:00"/>
    <x v="1"/>
    <n v="30"/>
    <n v="903000"/>
    <x v="23"/>
    <s v="Tue"/>
  </r>
  <r>
    <d v="2024-03-27T00:00:00"/>
    <x v="1"/>
    <n v="30"/>
    <n v="802000"/>
    <x v="23"/>
    <s v="Wed"/>
  </r>
  <r>
    <d v="2024-03-28T00:00:00"/>
    <x v="1"/>
    <n v="31"/>
    <n v="852000"/>
    <x v="23"/>
    <s v="Thu"/>
  </r>
  <r>
    <d v="2024-03-29T00:00:00"/>
    <x v="1"/>
    <n v="36"/>
    <n v="886000"/>
    <x v="23"/>
    <s v="Fri"/>
  </r>
  <r>
    <d v="2024-03-30T00:00:00"/>
    <x v="1"/>
    <n v="25"/>
    <n v="619000"/>
    <x v="23"/>
    <s v="Sat"/>
  </r>
  <r>
    <d v="2024-03-31T00:00:00"/>
    <x v="1"/>
    <n v="25"/>
    <n v="641000"/>
    <x v="23"/>
    <s v="Sun"/>
  </r>
  <r>
    <d v="2024-04-01T00:00:00"/>
    <x v="1"/>
    <n v="35"/>
    <n v="874000"/>
    <x v="0"/>
    <s v="Mon"/>
  </r>
  <r>
    <d v="2024-04-02T00:00:00"/>
    <x v="1"/>
    <n v="30"/>
    <n v="847000"/>
    <x v="0"/>
    <s v="Tue"/>
  </r>
  <r>
    <d v="2024-04-03T00:00:00"/>
    <x v="1"/>
    <n v="32"/>
    <n v="835000"/>
    <x v="0"/>
    <s v="Wed"/>
  </r>
  <r>
    <d v="2024-04-04T00:00:00"/>
    <x v="1"/>
    <n v="30"/>
    <n v="937000"/>
    <x v="0"/>
    <s v="Thu"/>
  </r>
  <r>
    <d v="2024-04-05T00:00:00"/>
    <x v="1"/>
    <n v="24"/>
    <n v="683000"/>
    <x v="0"/>
    <s v="Fri"/>
  </r>
  <r>
    <d v="2024-04-06T00:00:00"/>
    <x v="1"/>
    <n v="21"/>
    <n v="589000"/>
    <x v="0"/>
    <s v="Sat"/>
  </r>
  <r>
    <d v="2024-04-07T00:00:00"/>
    <x v="1"/>
    <n v="19"/>
    <n v="599000"/>
    <x v="0"/>
    <s v="Sun"/>
  </r>
  <r>
    <d v="2024-04-08T00:00:00"/>
    <x v="1"/>
    <n v="26"/>
    <n v="748000"/>
    <x v="0"/>
    <s v="Mon"/>
  </r>
  <r>
    <d v="2024-04-09T00:00:00"/>
    <x v="1"/>
    <n v="32"/>
    <n v="884000"/>
    <x v="0"/>
    <s v="Tue"/>
  </r>
  <r>
    <d v="2024-04-10T00:00:00"/>
    <x v="1"/>
    <n v="14"/>
    <n v="364000"/>
    <x v="0"/>
    <s v="Wed"/>
  </r>
  <r>
    <d v="2024-04-11T00:00:00"/>
    <x v="1"/>
    <n v="16"/>
    <n v="417000"/>
    <x v="0"/>
    <s v="Thu"/>
  </r>
  <r>
    <d v="2024-04-12T00:00:00"/>
    <x v="1"/>
    <n v="14"/>
    <n v="382000"/>
    <x v="0"/>
    <s v="Fri"/>
  </r>
  <r>
    <d v="2024-04-13T00:00:00"/>
    <x v="1"/>
    <n v="10"/>
    <n v="286000"/>
    <x v="0"/>
    <s v="Sat"/>
  </r>
  <r>
    <d v="2024-04-14T00:00:00"/>
    <x v="1"/>
    <n v="12"/>
    <n v="299000"/>
    <x v="0"/>
    <s v="Sun"/>
  </r>
  <r>
    <d v="2024-04-15T00:00:00"/>
    <x v="1"/>
    <n v="30"/>
    <n v="891000"/>
    <x v="0"/>
    <s v="Mon"/>
  </r>
  <r>
    <d v="2024-04-16T00:00:00"/>
    <x v="1"/>
    <n v="30"/>
    <n v="794000"/>
    <x v="0"/>
    <s v="Tue"/>
  </r>
  <r>
    <d v="2024-04-17T00:00:00"/>
    <x v="1"/>
    <n v="25"/>
    <n v="745000"/>
    <x v="0"/>
    <s v="Wed"/>
  </r>
  <r>
    <d v="2024-04-18T00:00:00"/>
    <x v="1"/>
    <n v="41"/>
    <n v="999000"/>
    <x v="0"/>
    <s v="Thu"/>
  </r>
  <r>
    <d v="2024-04-19T00:00:00"/>
    <x v="1"/>
    <n v="27"/>
    <n v="855000"/>
    <x v="0"/>
    <s v="Fri"/>
  </r>
  <r>
    <d v="2024-04-20T00:00:00"/>
    <x v="1"/>
    <n v="20"/>
    <n v="564000"/>
    <x v="0"/>
    <s v="Sat"/>
  </r>
  <r>
    <d v="2024-04-21T00:00:00"/>
    <x v="1"/>
    <n v="21"/>
    <n v="610000"/>
    <x v="0"/>
    <s v="Sun"/>
  </r>
  <r>
    <d v="2024-04-22T00:00:00"/>
    <x v="1"/>
    <n v="29"/>
    <n v="850000"/>
    <x v="0"/>
    <s v="Mon"/>
  </r>
  <r>
    <d v="2024-04-23T00:00:00"/>
    <x v="1"/>
    <n v="33"/>
    <n v="932000"/>
    <x v="0"/>
    <s v="Tue"/>
  </r>
  <r>
    <d v="2024-04-24T00:00:00"/>
    <x v="1"/>
    <n v="32"/>
    <n v="869000"/>
    <x v="0"/>
    <s v="Wed"/>
  </r>
  <r>
    <d v="2024-04-25T00:00:00"/>
    <x v="1"/>
    <n v="28"/>
    <n v="867000"/>
    <x v="0"/>
    <s v="Thu"/>
  </r>
  <r>
    <d v="2024-04-26T00:00:00"/>
    <x v="1"/>
    <n v="29"/>
    <n v="811000"/>
    <x v="0"/>
    <s v="Fri"/>
  </r>
  <r>
    <d v="2024-04-27T00:00:00"/>
    <x v="1"/>
    <n v="24"/>
    <n v="630000"/>
    <x v="0"/>
    <s v="Sat"/>
  </r>
  <r>
    <d v="2024-04-28T00:00:00"/>
    <x v="1"/>
    <n v="19"/>
    <n v="548000"/>
    <x v="0"/>
    <s v="Sun"/>
  </r>
  <r>
    <d v="2024-04-29T00:00:00"/>
    <x v="1"/>
    <n v="39"/>
    <n v="921000"/>
    <x v="0"/>
    <s v="Mon"/>
  </r>
  <r>
    <d v="2024-04-30T00:00:00"/>
    <x v="1"/>
    <n v="31"/>
    <n v="988000"/>
    <x v="0"/>
    <s v="Tue"/>
  </r>
  <r>
    <d v="2024-05-01T00:00:00"/>
    <x v="1"/>
    <n v="27"/>
    <n v="750000"/>
    <x v="1"/>
    <s v="Wed"/>
  </r>
  <r>
    <d v="2024-05-02T00:00:00"/>
    <x v="1"/>
    <n v="24"/>
    <n v="677000"/>
    <x v="1"/>
    <s v="Thu"/>
  </r>
  <r>
    <d v="2024-05-03T00:00:00"/>
    <x v="1"/>
    <n v="27"/>
    <n v="919000"/>
    <x v="1"/>
    <s v="Fri"/>
  </r>
  <r>
    <d v="2024-05-04T00:00:00"/>
    <x v="1"/>
    <n v="22"/>
    <n v="746000"/>
    <x v="1"/>
    <s v="Sat"/>
  </r>
  <r>
    <d v="2024-05-05T00:00:00"/>
    <x v="1"/>
    <n v="20"/>
    <n v="552000"/>
    <x v="1"/>
    <s v="Sun"/>
  </r>
  <r>
    <d v="2024-05-06T00:00:00"/>
    <x v="1"/>
    <n v="26"/>
    <n v="774000"/>
    <x v="1"/>
    <s v="Mon"/>
  </r>
  <r>
    <d v="2024-05-07T00:00:00"/>
    <x v="1"/>
    <n v="30"/>
    <n v="919000"/>
    <x v="1"/>
    <s v="Tue"/>
  </r>
  <r>
    <d v="2024-05-08T00:00:00"/>
    <x v="1"/>
    <n v="25"/>
    <n v="807000"/>
    <x v="1"/>
    <s v="Wed"/>
  </r>
  <r>
    <d v="2024-05-09T00:00:00"/>
    <x v="1"/>
    <n v="30"/>
    <n v="834000"/>
    <x v="1"/>
    <s v="Thu"/>
  </r>
  <r>
    <d v="2024-05-10T00:00:00"/>
    <x v="1"/>
    <n v="30"/>
    <n v="847000"/>
    <x v="1"/>
    <s v="Fri"/>
  </r>
  <r>
    <d v="2024-05-11T00:00:00"/>
    <x v="1"/>
    <n v="21"/>
    <n v="638000"/>
    <x v="1"/>
    <s v="Sat"/>
  </r>
  <r>
    <d v="2024-05-12T00:00:00"/>
    <x v="1"/>
    <n v="20"/>
    <n v="587000"/>
    <x v="1"/>
    <s v="Sun"/>
  </r>
  <r>
    <d v="2024-05-13T00:00:00"/>
    <x v="1"/>
    <n v="30"/>
    <n v="898000"/>
    <x v="1"/>
    <s v="Mon"/>
  </r>
  <r>
    <d v="2024-05-14T00:00:00"/>
    <x v="1"/>
    <n v="29"/>
    <n v="862000"/>
    <x v="1"/>
    <s v="Tue"/>
  </r>
  <r>
    <d v="2024-05-15T00:00:00"/>
    <x v="1"/>
    <n v="32"/>
    <n v="810000"/>
    <x v="1"/>
    <s v="Wed"/>
  </r>
  <r>
    <d v="2024-05-16T00:00:00"/>
    <x v="1"/>
    <n v="33"/>
    <n v="852000"/>
    <x v="1"/>
    <s v="Thu"/>
  </r>
  <r>
    <d v="2024-05-17T00:00:00"/>
    <x v="1"/>
    <n v="38"/>
    <n v="803000"/>
    <x v="1"/>
    <s v="Fri"/>
  </r>
  <r>
    <d v="2024-05-18T00:00:00"/>
    <x v="1"/>
    <n v="22"/>
    <n v="612000"/>
    <x v="1"/>
    <s v="Sat"/>
  </r>
  <r>
    <d v="2024-05-19T00:00:00"/>
    <x v="1"/>
    <n v="18"/>
    <n v="550000"/>
    <x v="1"/>
    <s v="Sun"/>
  </r>
  <r>
    <d v="2024-05-20T00:00:00"/>
    <x v="1"/>
    <n v="31"/>
    <n v="793000"/>
    <x v="1"/>
    <s v="Mon"/>
  </r>
  <r>
    <d v="2024-05-21T00:00:00"/>
    <x v="1"/>
    <n v="32"/>
    <n v="995000"/>
    <x v="1"/>
    <s v="Tue"/>
  </r>
  <r>
    <d v="2024-05-22T00:00:00"/>
    <x v="1"/>
    <n v="29"/>
    <n v="876000"/>
    <x v="1"/>
    <s v="Wed"/>
  </r>
  <r>
    <d v="2024-05-23T00:00:00"/>
    <x v="1"/>
    <n v="31"/>
    <n v="877000"/>
    <x v="1"/>
    <s v="Thu"/>
  </r>
  <r>
    <d v="2024-05-24T00:00:00"/>
    <x v="1"/>
    <n v="33"/>
    <n v="922000"/>
    <x v="1"/>
    <s v="Fri"/>
  </r>
  <r>
    <d v="2024-05-25T00:00:00"/>
    <x v="1"/>
    <n v="21"/>
    <n v="591000"/>
    <x v="1"/>
    <s v="Sat"/>
  </r>
  <r>
    <d v="2024-05-26T00:00:00"/>
    <x v="1"/>
    <n v="23"/>
    <n v="602000"/>
    <x v="1"/>
    <s v="Sun"/>
  </r>
  <r>
    <d v="2024-05-27T00:00:00"/>
    <x v="1"/>
    <n v="34"/>
    <n v="917000"/>
    <x v="1"/>
    <s v="Mon"/>
  </r>
  <r>
    <d v="2024-05-28T00:00:00"/>
    <x v="1"/>
    <n v="32"/>
    <n v="906000"/>
    <x v="1"/>
    <s v="Tue"/>
  </r>
  <r>
    <d v="2024-05-29T00:00:00"/>
    <x v="1"/>
    <n v="27"/>
    <n v="792000"/>
    <x v="1"/>
    <s v="Wed"/>
  </r>
  <r>
    <d v="2024-05-30T00:00:00"/>
    <x v="1"/>
    <n v="32"/>
    <n v="951000"/>
    <x v="1"/>
    <s v="Thu"/>
  </r>
  <r>
    <d v="2024-05-31T00:00:00"/>
    <x v="1"/>
    <n v="32"/>
    <n v="838000"/>
    <x v="1"/>
    <s v="Fri"/>
  </r>
  <r>
    <d v="2024-06-01T00:00:00"/>
    <x v="1"/>
    <n v="19"/>
    <n v="558000"/>
    <x v="2"/>
    <s v="Sat"/>
  </r>
  <r>
    <d v="2024-06-02T00:00:00"/>
    <x v="1"/>
    <n v="22"/>
    <n v="567000"/>
    <x v="2"/>
    <s v="Sun"/>
  </r>
  <r>
    <d v="2024-06-03T00:00:00"/>
    <x v="1"/>
    <n v="31"/>
    <n v="856000"/>
    <x v="2"/>
    <s v="Mon"/>
  </r>
  <r>
    <d v="2024-06-04T00:00:00"/>
    <x v="1"/>
    <n v="35"/>
    <n v="1017000"/>
    <x v="2"/>
    <s v="Tue"/>
  </r>
  <r>
    <d v="2024-06-05T00:00:00"/>
    <x v="1"/>
    <n v="28"/>
    <n v="794000"/>
    <x v="2"/>
    <s v="Wed"/>
  </r>
  <r>
    <d v="2024-06-06T00:00:00"/>
    <x v="1"/>
    <n v="33"/>
    <n v="901000"/>
    <x v="2"/>
    <s v="Thu"/>
  </r>
  <r>
    <d v="2024-06-07T00:00:00"/>
    <x v="1"/>
    <n v="25"/>
    <n v="718000"/>
    <x v="2"/>
    <s v="Fri"/>
  </r>
  <r>
    <d v="2024-06-08T00:00:00"/>
    <x v="1"/>
    <n v="23"/>
    <n v="619000"/>
    <x v="2"/>
    <s v="Sat"/>
  </r>
  <r>
    <d v="2024-06-09T00:00:00"/>
    <x v="1"/>
    <n v="25"/>
    <n v="670000"/>
    <x v="2"/>
    <s v="Sun"/>
  </r>
  <r>
    <d v="2024-06-10T00:00:00"/>
    <x v="1"/>
    <n v="32"/>
    <n v="871000"/>
    <x v="2"/>
    <s v="Mon"/>
  </r>
  <r>
    <d v="2024-06-11T00:00:00"/>
    <x v="1"/>
    <n v="28"/>
    <n v="840000"/>
    <x v="2"/>
    <s v="Tue"/>
  </r>
  <r>
    <d v="2024-06-12T00:00:00"/>
    <x v="1"/>
    <n v="33"/>
    <n v="910000"/>
    <x v="2"/>
    <s v="Wed"/>
  </r>
  <r>
    <d v="2024-06-13T00:00:00"/>
    <x v="1"/>
    <n v="29"/>
    <n v="948000"/>
    <x v="2"/>
    <s v="Thu"/>
  </r>
  <r>
    <d v="2024-06-14T00:00:00"/>
    <x v="1"/>
    <n v="33"/>
    <n v="946000"/>
    <x v="2"/>
    <s v="Fri"/>
  </r>
  <r>
    <d v="2024-06-15T00:00:00"/>
    <x v="1"/>
    <n v="36"/>
    <n v="732000"/>
    <x v="2"/>
    <s v="Sat"/>
  </r>
  <r>
    <d v="2024-06-16T00:00:00"/>
    <x v="1"/>
    <n v="24"/>
    <n v="634000"/>
    <x v="2"/>
    <s v="Sun"/>
  </r>
  <r>
    <d v="2024-06-17T00:00:00"/>
    <x v="1"/>
    <n v="26"/>
    <n v="846000"/>
    <x v="2"/>
    <s v="Mon"/>
  </r>
  <r>
    <d v="2024-06-18T00:00:00"/>
    <x v="1"/>
    <n v="32"/>
    <n v="884000"/>
    <x v="2"/>
    <s v="Tue"/>
  </r>
  <r>
    <d v="2024-06-19T00:00:00"/>
    <x v="1"/>
    <n v="33"/>
    <n v="889000"/>
    <x v="2"/>
    <s v="Wed"/>
  </r>
  <r>
    <d v="2024-06-20T00:00:00"/>
    <x v="1"/>
    <n v="35"/>
    <n v="904000"/>
    <x v="2"/>
    <s v="Thu"/>
  </r>
  <r>
    <d v="2024-06-21T00:00:00"/>
    <x v="1"/>
    <n v="29"/>
    <n v="894000"/>
    <x v="2"/>
    <s v="Fri"/>
  </r>
  <r>
    <d v="2024-06-22T00:00:00"/>
    <x v="1"/>
    <n v="21"/>
    <n v="634000"/>
    <x v="2"/>
    <s v="Sat"/>
  </r>
  <r>
    <d v="2024-06-23T00:00:00"/>
    <x v="1"/>
    <n v="18"/>
    <n v="531000"/>
    <x v="2"/>
    <s v="Sun"/>
  </r>
  <r>
    <d v="2024-06-24T00:00:00"/>
    <x v="1"/>
    <n v="33"/>
    <n v="965000"/>
    <x v="2"/>
    <s v="Mon"/>
  </r>
  <r>
    <d v="2024-06-25T00:00:00"/>
    <x v="1"/>
    <n v="27"/>
    <n v="852000"/>
    <x v="2"/>
    <s v="Tue"/>
  </r>
  <r>
    <d v="2024-06-26T00:00:00"/>
    <x v="1"/>
    <n v="27"/>
    <n v="804000"/>
    <x v="2"/>
    <s v="Wed"/>
  </r>
  <r>
    <d v="2024-06-27T00:00:00"/>
    <x v="1"/>
    <n v="38"/>
    <n v="951000"/>
    <x v="2"/>
    <s v="Thu"/>
  </r>
  <r>
    <d v="2024-06-28T00:00:00"/>
    <x v="1"/>
    <n v="34"/>
    <n v="1006000"/>
    <x v="2"/>
    <s v="Fri"/>
  </r>
  <r>
    <d v="2024-06-29T00:00:00"/>
    <x v="1"/>
    <n v="23"/>
    <n v="655000"/>
    <x v="2"/>
    <s v="Sat"/>
  </r>
  <r>
    <d v="2024-06-30T00:00:00"/>
    <x v="1"/>
    <n v="23"/>
    <n v="636000"/>
    <x v="2"/>
    <s v="Sun"/>
  </r>
  <r>
    <d v="2024-07-01T00:00:00"/>
    <x v="1"/>
    <n v="28"/>
    <n v="826000"/>
    <x v="3"/>
    <s v="Mon"/>
  </r>
  <r>
    <d v="2024-07-02T00:00:00"/>
    <x v="1"/>
    <n v="40"/>
    <n v="1135000"/>
    <x v="3"/>
    <s v="Tue"/>
  </r>
  <r>
    <d v="2024-07-03T00:00:00"/>
    <x v="1"/>
    <n v="47"/>
    <n v="974000"/>
    <x v="3"/>
    <s v="Wed"/>
  </r>
  <r>
    <d v="2024-07-04T00:00:00"/>
    <x v="1"/>
    <n v="25"/>
    <n v="810000"/>
    <x v="3"/>
    <s v="Thu"/>
  </r>
  <r>
    <d v="2024-07-05T00:00:00"/>
    <x v="1"/>
    <n v="27"/>
    <n v="840000"/>
    <x v="3"/>
    <s v="Fri"/>
  </r>
  <r>
    <d v="2024-07-06T00:00:00"/>
    <x v="1"/>
    <n v="23"/>
    <n v="634000"/>
    <x v="3"/>
    <s v="Sat"/>
  </r>
  <r>
    <d v="2024-07-07T00:00:00"/>
    <x v="1"/>
    <n v="20"/>
    <n v="542000"/>
    <x v="3"/>
    <s v="Sun"/>
  </r>
  <r>
    <d v="2024-07-08T00:00:00"/>
    <x v="1"/>
    <m/>
    <n v="919000"/>
    <x v="3"/>
    <s v="Mon"/>
  </r>
  <r>
    <d v="2024-07-09T00:00:00"/>
    <x v="1"/>
    <m/>
    <n v="868000"/>
    <x v="3"/>
    <s v="Tue"/>
  </r>
  <r>
    <d v="2024-07-10T00:00:00"/>
    <x v="1"/>
    <m/>
    <n v="1006000"/>
    <x v="3"/>
    <s v="Wed"/>
  </r>
  <r>
    <d v="2024-07-11T00:00:00"/>
    <x v="1"/>
    <m/>
    <n v="985000"/>
    <x v="3"/>
    <s v="Thu"/>
  </r>
  <r>
    <d v="2024-07-12T00:00:00"/>
    <x v="1"/>
    <m/>
    <n v="686000"/>
    <x v="3"/>
    <s v="Fri"/>
  </r>
  <r>
    <d v="2024-07-13T00:00:00"/>
    <x v="1"/>
    <n v="25"/>
    <n v="634000"/>
    <x v="3"/>
    <s v="Sat"/>
  </r>
  <r>
    <d v="2024-07-14T00:00:00"/>
    <x v="1"/>
    <n v="21"/>
    <n v="540000"/>
    <x v="3"/>
    <s v="Sun"/>
  </r>
  <r>
    <d v="2024-07-15T00:00:00"/>
    <x v="1"/>
    <n v="32"/>
    <n v="999000"/>
    <x v="3"/>
    <s v="Mon"/>
  </r>
  <r>
    <d v="2024-07-16T00:00:00"/>
    <x v="1"/>
    <n v="29"/>
    <n v="923000"/>
    <x v="3"/>
    <s v="Tue"/>
  </r>
  <r>
    <d v="2024-07-17T00:00:00"/>
    <x v="1"/>
    <n v="33"/>
    <n v="955000"/>
    <x v="3"/>
    <s v="Wed"/>
  </r>
  <r>
    <d v="2024-07-18T00:00:00"/>
    <x v="1"/>
    <n v="30"/>
    <n v="823000"/>
    <x v="3"/>
    <s v="Thu"/>
  </r>
  <r>
    <d v="2024-07-19T00:00:00"/>
    <x v="1"/>
    <n v="41"/>
    <n v="1061000"/>
    <x v="3"/>
    <s v="Fri"/>
  </r>
  <r>
    <d v="2024-07-20T00:00:00"/>
    <x v="1"/>
    <n v="25"/>
    <n v="750000"/>
    <x v="3"/>
    <s v="Sat"/>
  </r>
  <r>
    <d v="2024-07-21T00:00:00"/>
    <x v="1"/>
    <n v="18"/>
    <n v="574000"/>
    <x v="3"/>
    <s v="Sun"/>
  </r>
  <r>
    <d v="2024-07-22T00:00:00"/>
    <x v="1"/>
    <n v="39"/>
    <n v="943000"/>
    <x v="3"/>
    <s v="Mon"/>
  </r>
  <r>
    <d v="2024-07-23T00:00:00"/>
    <x v="1"/>
    <n v="28"/>
    <n v="858000"/>
    <x v="3"/>
    <s v="Tue"/>
  </r>
  <r>
    <d v="2024-07-24T00:00:00"/>
    <x v="1"/>
    <n v="40"/>
    <n v="911000"/>
    <x v="3"/>
    <s v="Wed"/>
  </r>
  <r>
    <d v="2024-07-25T00:00:00"/>
    <x v="1"/>
    <n v="30"/>
    <n v="810000"/>
    <x v="3"/>
    <s v="Thu"/>
  </r>
  <r>
    <d v="2024-07-26T00:00:00"/>
    <x v="1"/>
    <n v="37"/>
    <n v="1068000"/>
    <x v="3"/>
    <s v="Fri"/>
  </r>
  <r>
    <d v="2024-07-27T00:00:00"/>
    <x v="1"/>
    <n v="24"/>
    <n v="582000"/>
    <x v="3"/>
    <s v="Sat"/>
  </r>
  <r>
    <d v="2024-07-28T00:00:00"/>
    <x v="1"/>
    <n v="26"/>
    <n v="621000"/>
    <x v="3"/>
    <s v="Sun"/>
  </r>
  <r>
    <d v="2024-07-29T00:00:00"/>
    <x v="1"/>
    <n v="34"/>
    <n v="957000"/>
    <x v="3"/>
    <s v="Mon"/>
  </r>
  <r>
    <d v="2024-07-30T00:00:00"/>
    <x v="1"/>
    <n v="29"/>
    <n v="863000"/>
    <x v="3"/>
    <s v="Tue"/>
  </r>
  <r>
    <d v="2024-07-31T00:00:00"/>
    <x v="1"/>
    <n v="33"/>
    <n v="897000"/>
    <x v="3"/>
    <s v="Wed"/>
  </r>
  <r>
    <d v="2024-08-01T00:00:00"/>
    <x v="1"/>
    <n v="28"/>
    <n v="871000"/>
    <x v="4"/>
    <s v="Thu"/>
  </r>
  <r>
    <d v="2024-08-02T00:00:00"/>
    <x v="1"/>
    <n v="35"/>
    <n v="907000"/>
    <x v="4"/>
    <s v="Fri"/>
  </r>
  <r>
    <d v="2024-08-03T00:00:00"/>
    <x v="1"/>
    <n v="18"/>
    <n v="572000"/>
    <x v="4"/>
    <s v="Sat"/>
  </r>
  <r>
    <d v="2024-08-04T00:00:00"/>
    <x v="1"/>
    <n v="22"/>
    <n v="615000"/>
    <x v="4"/>
    <s v="Sun"/>
  </r>
  <r>
    <d v="2024-08-05T00:00:00"/>
    <x v="1"/>
    <n v="32"/>
    <n v="902000"/>
    <x v="4"/>
    <s v="Mon"/>
  </r>
  <r>
    <d v="2024-08-06T00:00:00"/>
    <x v="1"/>
    <n v="30"/>
    <n v="892000"/>
    <x v="4"/>
    <s v="Tue"/>
  </r>
  <r>
    <d v="2024-08-07T00:00:00"/>
    <x v="1"/>
    <n v="32"/>
    <n v="925000"/>
    <x v="4"/>
    <s v="Wed"/>
  </r>
  <r>
    <d v="2024-08-08T00:00:00"/>
    <x v="1"/>
    <n v="27"/>
    <n v="897000"/>
    <x v="4"/>
    <s v="Thu"/>
  </r>
  <r>
    <d v="2024-08-09T00:00:00"/>
    <x v="1"/>
    <n v="29"/>
    <n v="984000"/>
    <x v="4"/>
    <s v="Fri"/>
  </r>
  <r>
    <d v="2024-08-10T00:00:00"/>
    <x v="1"/>
    <n v="21"/>
    <n v="624000"/>
    <x v="4"/>
    <s v="Sat"/>
  </r>
  <r>
    <d v="2024-08-11T00:00:00"/>
    <x v="1"/>
    <n v="23"/>
    <n v="635000"/>
    <x v="4"/>
    <s v="Sun"/>
  </r>
  <r>
    <d v="2024-08-12T00:00:00"/>
    <x v="1"/>
    <n v="0"/>
    <n v="0"/>
    <x v="4"/>
    <s v="Mon"/>
  </r>
  <r>
    <d v="2024-08-13T00:00:00"/>
    <x v="1"/>
    <n v="0"/>
    <n v="0"/>
    <x v="4"/>
    <s v="Tue"/>
  </r>
  <r>
    <d v="2024-08-14T00:00:00"/>
    <x v="1"/>
    <n v="0"/>
    <n v="0"/>
    <x v="4"/>
    <s v="Wed"/>
  </r>
  <r>
    <d v="2024-08-15T00:00:00"/>
    <x v="1"/>
    <n v="0"/>
    <n v="0"/>
    <x v="4"/>
    <s v="Thu"/>
  </r>
  <r>
    <d v="2024-08-16T00:00:00"/>
    <x v="1"/>
    <n v="0"/>
    <n v="0"/>
    <x v="4"/>
    <s v="Fri"/>
  </r>
  <r>
    <d v="2024-08-17T00:00:00"/>
    <x v="1"/>
    <n v="0"/>
    <n v="0"/>
    <x v="4"/>
    <s v="Sat"/>
  </r>
  <r>
    <d v="2024-08-18T00:00:00"/>
    <x v="1"/>
    <n v="23"/>
    <n v="666000"/>
    <x v="4"/>
    <s v="Sun"/>
  </r>
  <r>
    <d v="2024-08-19T00:00:00"/>
    <x v="1"/>
    <n v="39"/>
    <n v="960000"/>
    <x v="4"/>
    <s v="Mon"/>
  </r>
  <r>
    <d v="2024-08-20T00:00:00"/>
    <x v="1"/>
    <n v="35"/>
    <n v="894000"/>
    <x v="4"/>
    <s v="Tue"/>
  </r>
  <r>
    <d v="2024-08-21T00:00:00"/>
    <x v="1"/>
    <n v="25"/>
    <n v="759000"/>
    <x v="4"/>
    <s v="Wed"/>
  </r>
  <r>
    <d v="2024-08-22T00:00:00"/>
    <x v="1"/>
    <n v="32"/>
    <n v="964000"/>
    <x v="4"/>
    <s v="Thu"/>
  </r>
  <r>
    <d v="2024-08-23T00:00:00"/>
    <x v="1"/>
    <n v="36"/>
    <n v="951000"/>
    <x v="4"/>
    <s v="Fri"/>
  </r>
  <r>
    <d v="2024-08-24T00:00:00"/>
    <x v="1"/>
    <n v="18"/>
    <n v="565000"/>
    <x v="4"/>
    <s v="Sat"/>
  </r>
  <r>
    <d v="2024-08-25T00:00:00"/>
    <x v="1"/>
    <n v="26"/>
    <n v="693000"/>
    <x v="4"/>
    <s v="Sun"/>
  </r>
  <r>
    <d v="2024-08-26T00:00:00"/>
    <x v="1"/>
    <n v="32"/>
    <n v="872000"/>
    <x v="4"/>
    <s v="Mon"/>
  </r>
  <r>
    <d v="2024-08-27T00:00:00"/>
    <x v="1"/>
    <n v="36"/>
    <n v="837000"/>
    <x v="4"/>
    <s v="Tue"/>
  </r>
  <r>
    <d v="2024-08-28T00:00:00"/>
    <x v="1"/>
    <n v="31"/>
    <n v="940000"/>
    <x v="4"/>
    <s v="Wed"/>
  </r>
  <r>
    <d v="2024-08-29T00:00:00"/>
    <x v="1"/>
    <n v="33"/>
    <n v="917000"/>
    <x v="4"/>
    <s v="Thu"/>
  </r>
  <r>
    <d v="2024-08-30T00:00:00"/>
    <x v="1"/>
    <n v="31"/>
    <n v="950000"/>
    <x v="4"/>
    <s v="Fri"/>
  </r>
  <r>
    <d v="2024-08-31T00:00:00"/>
    <x v="1"/>
    <n v="19"/>
    <n v="556000"/>
    <x v="4"/>
    <s v="Sat"/>
  </r>
  <r>
    <d v="2024-09-01T00:00:00"/>
    <x v="1"/>
    <n v="27"/>
    <n v="756000"/>
    <x v="5"/>
    <s v="Sun"/>
  </r>
  <r>
    <d v="2024-09-02T00:00:00"/>
    <x v="1"/>
    <n v="31"/>
    <n v="884000"/>
    <x v="5"/>
    <s v="Mon"/>
  </r>
  <r>
    <d v="2024-09-03T00:00:00"/>
    <x v="1"/>
    <n v="26"/>
    <n v="805000"/>
    <x v="5"/>
    <s v="Tue"/>
  </r>
  <r>
    <d v="2024-09-04T00:00:00"/>
    <x v="1"/>
    <n v="36"/>
    <n v="987000"/>
    <x v="5"/>
    <s v="Wed"/>
  </r>
  <r>
    <d v="2024-09-05T00:00:00"/>
    <x v="1"/>
    <n v="33"/>
    <n v="906000"/>
    <x v="5"/>
    <s v="Thu"/>
  </r>
  <r>
    <d v="2024-09-06T00:00:00"/>
    <x v="1"/>
    <n v="34"/>
    <n v="964000"/>
    <x v="5"/>
    <s v="Fri"/>
  </r>
  <r>
    <d v="2024-09-07T00:00:00"/>
    <x v="1"/>
    <n v="21"/>
    <n v="632000"/>
    <x v="5"/>
    <s v="Sat"/>
  </r>
  <r>
    <d v="2024-09-08T00:00:00"/>
    <x v="1"/>
    <n v="21"/>
    <n v="649000"/>
    <x v="5"/>
    <s v="Sun"/>
  </r>
  <r>
    <d v="2024-09-09T00:00:00"/>
    <x v="1"/>
    <n v="29"/>
    <n v="959000"/>
    <x v="5"/>
    <s v="Mon"/>
  </r>
  <r>
    <d v="2024-09-10T00:00:00"/>
    <x v="1"/>
    <n v="31"/>
    <n v="875000"/>
    <x v="5"/>
    <s v="Tue"/>
  </r>
  <r>
    <d v="2024-09-11T00:00:00"/>
    <x v="1"/>
    <n v="32"/>
    <n v="996000"/>
    <x v="5"/>
    <s v="Wed"/>
  </r>
  <r>
    <d v="2024-09-12T00:00:00"/>
    <x v="1"/>
    <n v="34"/>
    <n v="900000"/>
    <x v="5"/>
    <s v="Thu"/>
  </r>
  <r>
    <d v="2024-09-13T00:00:00"/>
    <x v="1"/>
    <n v="29"/>
    <n v="866000"/>
    <x v="5"/>
    <s v="Fri"/>
  </r>
  <r>
    <d v="2024-09-14T00:00:00"/>
    <x v="1"/>
    <n v="23"/>
    <n v="660000"/>
    <x v="5"/>
    <s v="Sat"/>
  </r>
  <r>
    <d v="2024-09-15T00:00:00"/>
    <x v="1"/>
    <n v="21"/>
    <n v="682000"/>
    <x v="5"/>
    <s v="Sun"/>
  </r>
  <r>
    <d v="2024-09-16T00:00:00"/>
    <x v="1"/>
    <n v="31"/>
    <n v="922000"/>
    <x v="5"/>
    <s v="Mon"/>
  </r>
  <r>
    <d v="2024-09-17T00:00:00"/>
    <x v="1"/>
    <n v="32"/>
    <n v="869000"/>
    <x v="5"/>
    <s v="Tue"/>
  </r>
  <r>
    <d v="2024-09-18T00:00:00"/>
    <x v="1"/>
    <n v="34"/>
    <n v="995000"/>
    <x v="5"/>
    <s v="Wed"/>
  </r>
  <r>
    <d v="2024-09-19T00:00:00"/>
    <x v="1"/>
    <n v="27"/>
    <n v="794000"/>
    <x v="5"/>
    <s v="Thu"/>
  </r>
  <r>
    <d v="2024-09-20T00:00:00"/>
    <x v="1"/>
    <n v="31"/>
    <n v="856000"/>
    <x v="5"/>
    <s v="Fri"/>
  </r>
  <r>
    <d v="2024-09-21T00:00:00"/>
    <x v="1"/>
    <n v="24"/>
    <n v="660000"/>
    <x v="5"/>
    <s v="Sat"/>
  </r>
  <r>
    <d v="2024-09-22T00:00:00"/>
    <x v="1"/>
    <n v="22"/>
    <n v="577000"/>
    <x v="5"/>
    <s v="Sun"/>
  </r>
  <r>
    <d v="2024-09-23T00:00:00"/>
    <x v="1"/>
    <n v="27"/>
    <n v="948000"/>
    <x v="5"/>
    <s v="Mon"/>
  </r>
  <r>
    <d v="2024-09-24T00:00:00"/>
    <x v="1"/>
    <n v="33"/>
    <n v="941000"/>
    <x v="5"/>
    <s v="Tue"/>
  </r>
  <r>
    <d v="2024-09-25T00:00:00"/>
    <x v="1"/>
    <n v="33"/>
    <n v="1023000"/>
    <x v="5"/>
    <s v="Wed"/>
  </r>
  <r>
    <d v="2024-09-26T00:00:00"/>
    <x v="1"/>
    <n v="34"/>
    <n v="869000"/>
    <x v="5"/>
    <s v="Thu"/>
  </r>
  <r>
    <d v="2024-09-27T00:00:00"/>
    <x v="1"/>
    <n v="35"/>
    <n v="894000"/>
    <x v="5"/>
    <s v="Fri"/>
  </r>
  <r>
    <d v="2024-09-28T00:00:00"/>
    <x v="1"/>
    <n v="25"/>
    <n v="680000"/>
    <x v="5"/>
    <s v="Sat"/>
  </r>
  <r>
    <d v="2024-09-29T00:00:00"/>
    <x v="1"/>
    <n v="19"/>
    <n v="514000"/>
    <x v="5"/>
    <s v="Sun"/>
  </r>
  <r>
    <d v="2024-09-30T00:00:00"/>
    <x v="1"/>
    <n v="40"/>
    <n v="1214000"/>
    <x v="5"/>
    <s v="Mon"/>
  </r>
  <r>
    <d v="2024-10-01T00:00:00"/>
    <x v="1"/>
    <n v="35"/>
    <n v="890000"/>
    <x v="6"/>
    <s v="Tue"/>
  </r>
  <r>
    <d v="2024-10-02T00:00:00"/>
    <x v="1"/>
    <n v="30"/>
    <n v="887000"/>
    <x v="6"/>
    <s v="Wed"/>
  </r>
  <r>
    <d v="2024-10-03T00:00:00"/>
    <x v="1"/>
    <n v="32"/>
    <n v="1024000"/>
    <x v="6"/>
    <s v="Thu"/>
  </r>
  <r>
    <d v="2024-10-04T00:00:00"/>
    <x v="1"/>
    <n v="37"/>
    <n v="947000"/>
    <x v="6"/>
    <s v="Fri"/>
  </r>
  <r>
    <d v="2024-10-05T00:00:00"/>
    <x v="1"/>
    <n v="18"/>
    <n v="556000"/>
    <x v="6"/>
    <s v="Sat"/>
  </r>
  <r>
    <d v="2024-10-06T00:00:00"/>
    <x v="1"/>
    <n v="27"/>
    <n v="700000"/>
    <x v="6"/>
    <s v="Sun"/>
  </r>
  <r>
    <d v="2024-10-07T00:00:00"/>
    <x v="1"/>
    <n v="35"/>
    <n v="1026000"/>
    <x v="6"/>
    <s v="Mon"/>
  </r>
  <r>
    <d v="2024-10-08T00:00:00"/>
    <x v="1"/>
    <n v="31"/>
    <n v="914000"/>
    <x v="6"/>
    <s v="Tue"/>
  </r>
  <r>
    <d v="2024-10-09T00:00:00"/>
    <x v="1"/>
    <n v="29"/>
    <n v="929000"/>
    <x v="6"/>
    <s v="Wed"/>
  </r>
  <r>
    <d v="2024-10-10T00:00:00"/>
    <x v="1"/>
    <n v="38"/>
    <n v="996000"/>
    <x v="6"/>
    <s v="Thu"/>
  </r>
  <r>
    <d v="2024-10-11T00:00:00"/>
    <x v="1"/>
    <n v="31"/>
    <n v="876000"/>
    <x v="6"/>
    <s v="Fri"/>
  </r>
  <r>
    <d v="2024-10-12T00:00:00"/>
    <x v="1"/>
    <n v="22"/>
    <n v="691000"/>
    <x v="6"/>
    <s v="Sat"/>
  </r>
  <r>
    <d v="2024-10-13T00:00:00"/>
    <x v="1"/>
    <n v="27"/>
    <n v="677000"/>
    <x v="6"/>
    <s v="Sun"/>
  </r>
  <r>
    <d v="2024-10-14T00:00:00"/>
    <x v="1"/>
    <n v="32"/>
    <n v="898000"/>
    <x v="6"/>
    <s v="Mon"/>
  </r>
  <r>
    <d v="2024-10-15T00:00:00"/>
    <x v="1"/>
    <n v="32"/>
    <n v="837000"/>
    <x v="6"/>
    <s v="Tue"/>
  </r>
  <r>
    <d v="2024-10-16T00:00:00"/>
    <x v="1"/>
    <n v="36"/>
    <n v="938000"/>
    <x v="6"/>
    <s v="Wed"/>
  </r>
  <r>
    <d v="2024-10-17T00:00:00"/>
    <x v="1"/>
    <n v="30"/>
    <n v="882000"/>
    <x v="6"/>
    <s v="Thu"/>
  </r>
  <r>
    <d v="2024-10-18T00:00:00"/>
    <x v="1"/>
    <n v="35"/>
    <n v="1045000"/>
    <x v="6"/>
    <s v="Fri"/>
  </r>
  <r>
    <d v="2024-10-19T00:00:00"/>
    <x v="1"/>
    <n v="20"/>
    <n v="676000"/>
    <x v="6"/>
    <s v="Sat"/>
  </r>
  <r>
    <d v="2024-10-20T00:00:00"/>
    <x v="1"/>
    <n v="23"/>
    <n v="715000"/>
    <x v="6"/>
    <s v="Sun"/>
  </r>
  <r>
    <d v="2024-10-21T00:00:00"/>
    <x v="1"/>
    <n v="31"/>
    <n v="971000"/>
    <x v="6"/>
    <s v="Mon"/>
  </r>
  <r>
    <d v="2024-10-22T00:00:00"/>
    <x v="1"/>
    <n v="35"/>
    <n v="983000"/>
    <x v="6"/>
    <s v="Tue"/>
  </r>
  <r>
    <d v="2024-10-23T00:00:00"/>
    <x v="1"/>
    <n v="33"/>
    <n v="893000"/>
    <x v="6"/>
    <s v="Wed"/>
  </r>
  <r>
    <d v="2024-10-24T00:00:00"/>
    <x v="1"/>
    <n v="36"/>
    <n v="1019000"/>
    <x v="6"/>
    <s v="Thu"/>
  </r>
  <r>
    <d v="2024-10-25T00:00:00"/>
    <x v="1"/>
    <n v="50"/>
    <n v="1116000"/>
    <x v="6"/>
    <s v="Fri"/>
  </r>
  <r>
    <d v="2024-10-26T00:00:00"/>
    <x v="1"/>
    <n v="20"/>
    <n v="652000"/>
    <x v="6"/>
    <s v="Sat"/>
  </r>
  <r>
    <d v="2024-10-27T00:00:00"/>
    <x v="1"/>
    <n v="24"/>
    <n v="635000"/>
    <x v="6"/>
    <s v="Sun"/>
  </r>
  <r>
    <d v="2024-10-28T00:00:00"/>
    <x v="1"/>
    <n v="37"/>
    <n v="950000"/>
    <x v="6"/>
    <s v="Mon"/>
  </r>
  <r>
    <d v="2024-10-29T00:00:00"/>
    <x v="1"/>
    <n v="34"/>
    <n v="922000"/>
    <x v="6"/>
    <s v="Tue"/>
  </r>
  <r>
    <d v="2024-10-30T00:00:00"/>
    <x v="1"/>
    <n v="30"/>
    <n v="904000"/>
    <x v="6"/>
    <s v="Wed"/>
  </r>
  <r>
    <d v="2024-10-31T00:00:00"/>
    <x v="1"/>
    <n v="31"/>
    <n v="977000"/>
    <x v="6"/>
    <s v="Thu"/>
  </r>
  <r>
    <d v="2024-11-01T00:00:00"/>
    <x v="1"/>
    <n v="35"/>
    <n v="940000"/>
    <x v="7"/>
    <s v="Fri"/>
  </r>
  <r>
    <d v="2024-11-02T00:00:00"/>
    <x v="1"/>
    <n v="26"/>
    <n v="760000"/>
    <x v="7"/>
    <s v="Sat"/>
  </r>
  <r>
    <d v="2024-11-03T00:00:00"/>
    <x v="1"/>
    <n v="24"/>
    <n v="673000"/>
    <x v="7"/>
    <s v="Sun"/>
  </r>
  <r>
    <d v="2024-11-04T00:00:00"/>
    <x v="1"/>
    <n v="39"/>
    <n v="995000"/>
    <x v="7"/>
    <s v="Mon"/>
  </r>
  <r>
    <d v="2024-11-05T00:00:00"/>
    <x v="1"/>
    <n v="37"/>
    <n v="1050000"/>
    <x v="7"/>
    <s v="Tue"/>
  </r>
  <r>
    <d v="2024-11-06T00:00:00"/>
    <x v="1"/>
    <n v="33"/>
    <n v="942000"/>
    <x v="7"/>
    <s v="Wed"/>
  </r>
  <r>
    <d v="2024-11-07T00:00:00"/>
    <x v="1"/>
    <n v="45"/>
    <n v="1094000"/>
    <x v="7"/>
    <s v="Thu"/>
  </r>
  <r>
    <d v="2024-11-08T00:00:00"/>
    <x v="1"/>
    <n v="30"/>
    <n v="914000"/>
    <x v="7"/>
    <s v="Fri"/>
  </r>
  <r>
    <d v="2024-11-09T00:00:00"/>
    <x v="1"/>
    <n v="26"/>
    <n v="626000"/>
    <x v="7"/>
    <s v="Sat"/>
  </r>
  <r>
    <d v="2024-11-10T00:00:00"/>
    <x v="1"/>
    <n v="23"/>
    <n v="653000"/>
    <x v="7"/>
    <s v="Sun"/>
  </r>
  <r>
    <d v="2024-11-11T00:00:00"/>
    <x v="1"/>
    <n v="38"/>
    <n v="961000"/>
    <x v="7"/>
    <s v="Mon"/>
  </r>
  <r>
    <d v="2024-11-12T00:00:00"/>
    <x v="1"/>
    <n v="33"/>
    <n v="849000"/>
    <x v="7"/>
    <s v="Tue"/>
  </r>
  <r>
    <d v="2024-11-13T00:00:00"/>
    <x v="1"/>
    <n v="37"/>
    <n v="969000"/>
    <x v="7"/>
    <s v="Wed"/>
  </r>
  <r>
    <d v="2024-11-14T00:00:00"/>
    <x v="1"/>
    <n v="28"/>
    <n v="826000"/>
    <x v="7"/>
    <s v="Thu"/>
  </r>
  <r>
    <d v="2024-11-15T00:00:00"/>
    <x v="1"/>
    <n v="44"/>
    <n v="1095000"/>
    <x v="7"/>
    <s v="Fri"/>
  </r>
  <r>
    <d v="2024-11-16T00:00:00"/>
    <x v="1"/>
    <n v="24"/>
    <n v="673000"/>
    <x v="7"/>
    <s v="Sat"/>
  </r>
  <r>
    <d v="2024-11-17T00:00:00"/>
    <x v="1"/>
    <n v="20"/>
    <n v="639000"/>
    <x v="7"/>
    <s v="Sun"/>
  </r>
  <r>
    <d v="2024-11-18T00:00:00"/>
    <x v="1"/>
    <n v="34"/>
    <n v="895000"/>
    <x v="7"/>
    <s v="Mon"/>
  </r>
  <r>
    <d v="2024-11-19T00:00:00"/>
    <x v="1"/>
    <n v="34"/>
    <n v="941000"/>
    <x v="7"/>
    <s v="Tue"/>
  </r>
  <r>
    <d v="2024-11-20T00:00:00"/>
    <x v="1"/>
    <n v="32"/>
    <n v="956000"/>
    <x v="7"/>
    <s v="Wed"/>
  </r>
  <r>
    <d v="2024-11-21T00:00:00"/>
    <x v="1"/>
    <n v="33"/>
    <n v="884000"/>
    <x v="7"/>
    <s v="Thu"/>
  </r>
  <r>
    <d v="2024-11-22T00:00:00"/>
    <x v="1"/>
    <n v="31"/>
    <n v="896000"/>
    <x v="7"/>
    <s v="Fri"/>
  </r>
  <r>
    <d v="2024-11-23T00:00:00"/>
    <x v="1"/>
    <n v="25"/>
    <n v="669000"/>
    <x v="7"/>
    <s v="Sat"/>
  </r>
  <r>
    <d v="2024-11-24T00:00:00"/>
    <x v="1"/>
    <n v="22"/>
    <n v="649000"/>
    <x v="7"/>
    <s v="Sun"/>
  </r>
  <r>
    <d v="2024-11-25T00:00:00"/>
    <x v="1"/>
    <n v="38"/>
    <n v="1061000"/>
    <x v="7"/>
    <s v="Mon"/>
  </r>
  <r>
    <d v="2024-11-26T00:00:00"/>
    <x v="1"/>
    <n v="42"/>
    <n v="1079000"/>
    <x v="7"/>
    <s v="Tue"/>
  </r>
  <r>
    <d v="2024-11-27T00:00:00"/>
    <x v="1"/>
    <n v="31"/>
    <n v="980000"/>
    <x v="7"/>
    <s v="Wed"/>
  </r>
  <r>
    <d v="2024-11-28T00:00:00"/>
    <x v="1"/>
    <n v="37"/>
    <n v="1021000"/>
    <x v="7"/>
    <s v="Thu"/>
  </r>
  <r>
    <d v="2024-11-29T00:00:00"/>
    <x v="1"/>
    <n v="32"/>
    <n v="862000"/>
    <x v="7"/>
    <s v="Fri"/>
  </r>
  <r>
    <d v="2024-11-30T00:00:00"/>
    <x v="1"/>
    <n v="28"/>
    <n v="722000"/>
    <x v="7"/>
    <s v="Sat"/>
  </r>
  <r>
    <d v="2024-12-01T00:00:00"/>
    <x v="1"/>
    <n v="30"/>
    <n v="818000"/>
    <x v="8"/>
    <s v="Sun"/>
  </r>
  <r>
    <d v="2024-12-02T00:00:00"/>
    <x v="1"/>
    <n v="44"/>
    <n v="1229000"/>
    <x v="8"/>
    <s v="Mon"/>
  </r>
  <r>
    <d v="2024-12-03T00:00:00"/>
    <x v="1"/>
    <n v="47"/>
    <n v="1348000"/>
    <x v="8"/>
    <s v="Tue"/>
  </r>
  <r>
    <d v="2024-12-04T00:00:00"/>
    <x v="1"/>
    <n v="30"/>
    <n v="937000"/>
    <x v="8"/>
    <s v="Wed"/>
  </r>
  <r>
    <d v="2024-12-05T00:00:00"/>
    <x v="1"/>
    <n v="49"/>
    <n v="1208000"/>
    <x v="8"/>
    <s v="Thu"/>
  </r>
  <r>
    <d v="2024-12-06T00:00:00"/>
    <x v="1"/>
    <n v="39"/>
    <n v="1064000"/>
    <x v="8"/>
    <s v="Fri"/>
  </r>
  <r>
    <d v="2024-12-07T00:00:00"/>
    <x v="1"/>
    <n v="28"/>
    <n v="866000"/>
    <x v="8"/>
    <s v="Sat"/>
  </r>
  <r>
    <d v="2024-12-08T00:00:00"/>
    <x v="1"/>
    <n v="25"/>
    <n v="726000"/>
    <x v="8"/>
    <s v="Sun"/>
  </r>
  <r>
    <d v="2024-12-09T00:00:00"/>
    <x v="1"/>
    <n v="39"/>
    <n v="1130000"/>
    <x v="8"/>
    <s v="Mon"/>
  </r>
  <r>
    <d v="2024-12-10T00:00:00"/>
    <x v="1"/>
    <n v="38"/>
    <n v="1205000"/>
    <x v="8"/>
    <s v="Tue"/>
  </r>
  <r>
    <d v="2024-12-11T00:00:00"/>
    <x v="1"/>
    <n v="43"/>
    <n v="1249000"/>
    <x v="8"/>
    <s v="Wed"/>
  </r>
  <r>
    <d v="2024-12-12T00:00:00"/>
    <x v="1"/>
    <n v="41"/>
    <n v="1192000"/>
    <x v="8"/>
    <s v="Thu"/>
  </r>
  <r>
    <d v="2024-12-13T00:00:00"/>
    <x v="1"/>
    <n v="39"/>
    <n v="1100000"/>
    <x v="8"/>
    <s v="Fri"/>
  </r>
  <r>
    <d v="2024-12-14T00:00:00"/>
    <x v="1"/>
    <n v="24"/>
    <n v="784000"/>
    <x v="8"/>
    <s v="Sat"/>
  </r>
  <r>
    <d v="2024-12-15T00:00:00"/>
    <x v="1"/>
    <n v="29"/>
    <n v="892000"/>
    <x v="8"/>
    <s v="Sun"/>
  </r>
  <r>
    <d v="2024-12-16T00:00:00"/>
    <x v="1"/>
    <n v="45"/>
    <n v="1186000"/>
    <x v="8"/>
    <s v="Mon"/>
  </r>
  <r>
    <d v="2024-12-17T00:00:00"/>
    <x v="1"/>
    <n v="34"/>
    <n v="1007000"/>
    <x v="8"/>
    <s v="Tue"/>
  </r>
  <r>
    <d v="2024-12-18T00:00:00"/>
    <x v="1"/>
    <n v="51"/>
    <n v="1278000"/>
    <x v="8"/>
    <s v="Wed"/>
  </r>
  <r>
    <d v="2024-12-19T00:00:00"/>
    <x v="1"/>
    <n v="40"/>
    <n v="1233000"/>
    <x v="8"/>
    <s v="Thu"/>
  </r>
  <r>
    <d v="2024-12-20T00:00:00"/>
    <x v="1"/>
    <n v="43"/>
    <n v="1283000"/>
    <x v="8"/>
    <s v="Fri"/>
  </r>
  <r>
    <d v="2024-12-21T00:00:00"/>
    <x v="1"/>
    <n v="29"/>
    <n v="804000"/>
    <x v="8"/>
    <s v="Sat"/>
  </r>
  <r>
    <d v="2024-12-22T00:00:00"/>
    <x v="1"/>
    <n v="33"/>
    <n v="891000"/>
    <x v="8"/>
    <s v="Sun"/>
  </r>
  <r>
    <d v="2024-12-23T00:00:00"/>
    <x v="1"/>
    <n v="46"/>
    <n v="1077000"/>
    <x v="8"/>
    <s v="Mon"/>
  </r>
  <r>
    <d v="2024-12-24T00:00:00"/>
    <x v="1"/>
    <n v="42"/>
    <n v="1253000"/>
    <x v="8"/>
    <s v="Tue"/>
  </r>
  <r>
    <d v="2024-12-25T00:00:00"/>
    <x v="1"/>
    <n v="41"/>
    <n v="1140000"/>
    <x v="8"/>
    <s v="Wed"/>
  </r>
  <r>
    <d v="2024-12-26T00:00:00"/>
    <x v="1"/>
    <n v="46"/>
    <n v="1265000"/>
    <x v="8"/>
    <s v="Thu"/>
  </r>
  <r>
    <d v="2024-12-27T00:00:00"/>
    <x v="1"/>
    <n v="44"/>
    <n v="1302000"/>
    <x v="8"/>
    <s v="Fri"/>
  </r>
  <r>
    <d v="2024-12-28T00:00:00"/>
    <x v="1"/>
    <n v="29"/>
    <n v="777000"/>
    <x v="8"/>
    <s v="Sat"/>
  </r>
  <r>
    <d v="2024-12-29T00:00:00"/>
    <x v="1"/>
    <n v="31"/>
    <n v="828000"/>
    <x v="8"/>
    <s v="Sun"/>
  </r>
  <r>
    <d v="2024-12-30T00:00:00"/>
    <x v="1"/>
    <n v="46"/>
    <n v="1200000"/>
    <x v="8"/>
    <s v="Mon"/>
  </r>
  <r>
    <d v="2024-12-31T00:00:00"/>
    <x v="1"/>
    <n v="54"/>
    <n v="1324000"/>
    <x v="8"/>
    <s v="Tue"/>
  </r>
  <r>
    <d v="2025-01-01T00:00:00"/>
    <x v="1"/>
    <n v="31"/>
    <n v="1061000"/>
    <x v="9"/>
    <s v="Wed"/>
  </r>
  <r>
    <d v="2025-01-02T00:00:00"/>
    <x v="1"/>
    <n v="32"/>
    <n v="888000"/>
    <x v="9"/>
    <s v="Thu"/>
  </r>
  <r>
    <d v="2025-01-03T00:00:00"/>
    <x v="1"/>
    <n v="38"/>
    <n v="1039000"/>
    <x v="9"/>
    <s v="Fri"/>
  </r>
  <r>
    <d v="2025-01-04T00:00:00"/>
    <x v="1"/>
    <n v="25"/>
    <n v="742000"/>
    <x v="9"/>
    <s v="Sat"/>
  </r>
  <r>
    <d v="2025-01-05T00:00:00"/>
    <x v="1"/>
    <n v="41"/>
    <n v="829000"/>
    <x v="9"/>
    <s v="Sun"/>
  </r>
  <r>
    <d v="2025-01-06T00:00:00"/>
    <x v="1"/>
    <n v="30"/>
    <n v="849000"/>
    <x v="9"/>
    <s v="Mon"/>
  </r>
  <r>
    <d v="2025-01-07T00:00:00"/>
    <x v="1"/>
    <n v="34"/>
    <n v="952000"/>
    <x v="9"/>
    <s v="Tue"/>
  </r>
  <r>
    <d v="2025-01-08T00:00:00"/>
    <x v="1"/>
    <n v="44"/>
    <n v="1121000"/>
    <x v="9"/>
    <s v="Wed"/>
  </r>
  <r>
    <d v="2025-01-09T00:00:00"/>
    <x v="1"/>
    <n v="30"/>
    <n v="879000"/>
    <x v="9"/>
    <s v="Thu"/>
  </r>
  <r>
    <d v="2025-01-10T00:00:00"/>
    <x v="1"/>
    <n v="39"/>
    <n v="894000"/>
    <x v="9"/>
    <s v="Fri"/>
  </r>
  <r>
    <d v="2025-01-11T00:00:00"/>
    <x v="1"/>
    <n v="26"/>
    <n v="731000"/>
    <x v="9"/>
    <s v="Sat"/>
  </r>
  <r>
    <d v="2025-01-12T00:00:00"/>
    <x v="1"/>
    <n v="25"/>
    <n v="763000"/>
    <x v="9"/>
    <s v="Sun"/>
  </r>
  <r>
    <d v="2025-01-13T00:00:00"/>
    <x v="1"/>
    <n v="42"/>
    <n v="943000"/>
    <x v="9"/>
    <s v="Mon"/>
  </r>
  <r>
    <d v="2025-01-14T00:00:00"/>
    <x v="1"/>
    <n v="43"/>
    <n v="1053000"/>
    <x v="9"/>
    <s v="Tue"/>
  </r>
  <r>
    <d v="2025-01-15T00:00:00"/>
    <x v="1"/>
    <n v="37"/>
    <n v="1015000"/>
    <x v="9"/>
    <s v="Wed"/>
  </r>
  <r>
    <d v="2025-01-16T00:00:00"/>
    <x v="1"/>
    <n v="41"/>
    <n v="1143000"/>
    <x v="9"/>
    <s v="Thu"/>
  </r>
  <r>
    <d v="2025-01-17T00:00:00"/>
    <x v="1"/>
    <n v="38"/>
    <n v="1006000"/>
    <x v="9"/>
    <s v="Fri"/>
  </r>
  <r>
    <d v="2025-01-18T00:00:00"/>
    <x v="1"/>
    <n v="27"/>
    <n v="763000"/>
    <x v="9"/>
    <s v="Sat"/>
  </r>
  <r>
    <d v="2025-01-19T00:00:00"/>
    <x v="1"/>
    <n v="23"/>
    <n v="644000"/>
    <x v="9"/>
    <s v="Sun"/>
  </r>
  <r>
    <d v="2025-01-20T00:00:00"/>
    <x v="1"/>
    <n v="41"/>
    <n v="990000"/>
    <x v="9"/>
    <s v="Mon"/>
  </r>
  <r>
    <d v="2025-01-21T00:00:00"/>
    <x v="1"/>
    <n v="36"/>
    <n v="999000"/>
    <x v="9"/>
    <s v="Tue"/>
  </r>
  <r>
    <d v="2025-01-22T00:00:00"/>
    <x v="1"/>
    <n v="45"/>
    <n v="1112000"/>
    <x v="9"/>
    <s v="Wed"/>
  </r>
  <r>
    <d v="2025-01-23T00:00:00"/>
    <x v="1"/>
    <n v="47"/>
    <n v="1061000"/>
    <x v="9"/>
    <s v="Thu"/>
  </r>
  <r>
    <d v="2025-01-24T00:00:00"/>
    <x v="1"/>
    <n v="44"/>
    <n v="941000"/>
    <x v="9"/>
    <s v="Fri"/>
  </r>
  <r>
    <d v="2025-01-25T00:00:00"/>
    <x v="1"/>
    <n v="25"/>
    <n v="746000"/>
    <x v="9"/>
    <s v="Sat"/>
  </r>
  <r>
    <d v="2025-01-26T00:00:00"/>
    <x v="1"/>
    <n v="28"/>
    <n v="752000"/>
    <x v="9"/>
    <s v="Sun"/>
  </r>
  <r>
    <d v="2025-01-27T00:00:00"/>
    <x v="1"/>
    <n v="31"/>
    <n v="1001000"/>
    <x v="9"/>
    <s v="Mon"/>
  </r>
  <r>
    <d v="2025-01-28T00:00:00"/>
    <x v="1"/>
    <n v="41"/>
    <n v="988000"/>
    <x v="9"/>
    <s v="Tue"/>
  </r>
  <r>
    <d v="2025-01-29T00:00:00"/>
    <x v="1"/>
    <n v="37"/>
    <n v="994000"/>
    <x v="9"/>
    <s v="Wed"/>
  </r>
  <r>
    <d v="2025-01-30T00:00:00"/>
    <x v="1"/>
    <n v="30"/>
    <n v="858000"/>
    <x v="9"/>
    <s v="Thu"/>
  </r>
  <r>
    <d v="2025-01-31T00:00:00"/>
    <x v="1"/>
    <n v="38"/>
    <n v="1030000"/>
    <x v="9"/>
    <s v="Fri"/>
  </r>
  <r>
    <d v="2025-02-01T00:00:00"/>
    <x v="1"/>
    <n v="25"/>
    <n v="721000"/>
    <x v="10"/>
    <s v="Sat"/>
  </r>
  <r>
    <d v="2025-02-02T00:00:00"/>
    <x v="1"/>
    <n v="23"/>
    <n v="651000"/>
    <x v="10"/>
    <s v="Sun"/>
  </r>
  <r>
    <d v="2025-02-03T00:00:00"/>
    <x v="1"/>
    <n v="42"/>
    <n v="1082000"/>
    <x v="10"/>
    <s v="Mon"/>
  </r>
  <r>
    <d v="2025-02-04T00:00:00"/>
    <x v="1"/>
    <n v="41"/>
    <n v="890000"/>
    <x v="10"/>
    <s v="Tue"/>
  </r>
  <r>
    <d v="2025-02-05T00:00:00"/>
    <x v="1"/>
    <n v="38"/>
    <n v="965000"/>
    <x v="10"/>
    <s v="Wed"/>
  </r>
  <r>
    <d v="2025-02-06T00:00:00"/>
    <x v="1"/>
    <n v="30"/>
    <n v="973000"/>
    <x v="10"/>
    <s v="Thu"/>
  </r>
  <r>
    <d v="2025-02-07T00:00:00"/>
    <x v="1"/>
    <n v="41"/>
    <n v="1198000"/>
    <x v="10"/>
    <s v="Fri"/>
  </r>
  <r>
    <d v="2025-02-08T00:00:00"/>
    <x v="1"/>
    <n v="20"/>
    <n v="606000"/>
    <x v="10"/>
    <s v="Sat"/>
  </r>
  <r>
    <d v="2025-02-09T00:00:00"/>
    <x v="1"/>
    <n v="28"/>
    <n v="745000"/>
    <x v="10"/>
    <s v="Sun"/>
  </r>
  <r>
    <d v="2025-02-10T00:00:00"/>
    <x v="1"/>
    <n v="41"/>
    <n v="1105000"/>
    <x v="10"/>
    <s v="Mon"/>
  </r>
  <r>
    <d v="2025-02-11T00:00:00"/>
    <x v="1"/>
    <n v="41"/>
    <n v="1053000"/>
    <x v="10"/>
    <s v="Tue"/>
  </r>
  <r>
    <d v="2025-02-12T00:00:00"/>
    <x v="1"/>
    <n v="39"/>
    <n v="1128000"/>
    <x v="10"/>
    <s v="Wed"/>
  </r>
  <r>
    <d v="2025-02-13T00:00:00"/>
    <x v="1"/>
    <n v="33"/>
    <n v="928000"/>
    <x v="10"/>
    <s v="Thu"/>
  </r>
  <r>
    <d v="2025-02-14T00:00:00"/>
    <x v="1"/>
    <n v="28"/>
    <n v="811000"/>
    <x v="10"/>
    <s v="Fri"/>
  </r>
  <r>
    <d v="2025-02-15T00:00:00"/>
    <x v="1"/>
    <n v="24"/>
    <n v="760000"/>
    <x v="10"/>
    <s v="Sat"/>
  </r>
  <r>
    <d v="2025-02-16T00:00:00"/>
    <x v="1"/>
    <n v="25"/>
    <n v="635000"/>
    <x v="10"/>
    <s v="Sun"/>
  </r>
  <r>
    <d v="2025-02-17T00:00:00"/>
    <x v="1"/>
    <n v="34"/>
    <n v="992000"/>
    <x v="10"/>
    <s v="Mon"/>
  </r>
  <r>
    <d v="2025-02-18T00:00:00"/>
    <x v="1"/>
    <n v="38"/>
    <n v="914000"/>
    <x v="10"/>
    <s v="Tue"/>
  </r>
  <r>
    <d v="2025-02-19T00:00:00"/>
    <x v="1"/>
    <n v="37"/>
    <n v="1120000"/>
    <x v="10"/>
    <s v="Wed"/>
  </r>
  <r>
    <d v="2025-02-20T00:00:00"/>
    <x v="1"/>
    <n v="41"/>
    <n v="1103000"/>
    <x v="10"/>
    <s v="Thu"/>
  </r>
  <r>
    <d v="2025-02-21T00:00:00"/>
    <x v="1"/>
    <n v="35"/>
    <n v="958000"/>
    <x v="10"/>
    <s v="Fri"/>
  </r>
  <r>
    <d v="2025-02-22T00:00:00"/>
    <x v="1"/>
    <n v="28"/>
    <n v="771000"/>
    <x v="10"/>
    <s v="Sat"/>
  </r>
  <r>
    <d v="2025-02-23T00:00:00"/>
    <x v="1"/>
    <n v="23"/>
    <n v="722000"/>
    <x v="10"/>
    <s v="Sun"/>
  </r>
  <r>
    <d v="2025-02-24T00:00:00"/>
    <x v="1"/>
    <n v="37"/>
    <n v="1013000"/>
    <x v="10"/>
    <s v="Mon"/>
  </r>
  <r>
    <d v="2025-02-25T00:00:00"/>
    <x v="1"/>
    <n v="39"/>
    <n v="1031000"/>
    <x v="10"/>
    <s v="Tue"/>
  </r>
  <r>
    <d v="2025-02-26T00:00:00"/>
    <x v="1"/>
    <n v="41"/>
    <n v="1008000"/>
    <x v="10"/>
    <s v="Wed"/>
  </r>
  <r>
    <d v="2025-02-27T00:00:00"/>
    <x v="1"/>
    <n v="38"/>
    <n v="1084000"/>
    <x v="10"/>
    <s v="Thu"/>
  </r>
  <r>
    <d v="2025-02-28T00:00:00"/>
    <x v="1"/>
    <n v="41"/>
    <n v="1056000"/>
    <x v="10"/>
    <s v="Fri"/>
  </r>
  <r>
    <d v="2025-03-01T00:00:00"/>
    <x v="1"/>
    <n v="26"/>
    <n v="693000"/>
    <x v="11"/>
    <s v="Sat"/>
  </r>
  <r>
    <d v="2025-03-02T00:00:00"/>
    <x v="1"/>
    <n v="28"/>
    <n v="781000"/>
    <x v="11"/>
    <s v="Sun"/>
  </r>
  <r>
    <d v="2025-03-03T00:00:00"/>
    <x v="1"/>
    <n v="33"/>
    <n v="973000"/>
    <x v="11"/>
    <s v="Mon"/>
  </r>
  <r>
    <d v="2025-03-04T00:00:00"/>
    <x v="1"/>
    <n v="41"/>
    <n v="1056000"/>
    <x v="11"/>
    <s v="Tue"/>
  </r>
  <r>
    <d v="2025-03-05T00:00:00"/>
    <x v="1"/>
    <n v="36"/>
    <n v="1069000"/>
    <x v="11"/>
    <s v="Wed"/>
  </r>
  <r>
    <d v="2025-03-06T00:00:00"/>
    <x v="1"/>
    <n v="36"/>
    <n v="1168000"/>
    <x v="11"/>
    <s v="Thu"/>
  </r>
  <r>
    <d v="2025-03-07T00:00:00"/>
    <x v="1"/>
    <n v="41"/>
    <n v="984000"/>
    <x v="11"/>
    <s v="Fri"/>
  </r>
  <r>
    <d v="2025-03-08T00:00:00"/>
    <x v="1"/>
    <n v="27"/>
    <n v="831000"/>
    <x v="11"/>
    <s v="Sat"/>
  </r>
  <r>
    <d v="2025-03-09T00:00:00"/>
    <x v="1"/>
    <n v="22"/>
    <n v="730000"/>
    <x v="11"/>
    <s v="Sun"/>
  </r>
  <r>
    <d v="2025-03-10T00:00:00"/>
    <x v="1"/>
    <n v="39"/>
    <n v="1015000"/>
    <x v="11"/>
    <s v="Mon"/>
  </r>
  <r>
    <d v="2025-03-11T00:00:00"/>
    <x v="1"/>
    <n v="33"/>
    <n v="971000"/>
    <x v="11"/>
    <s v="Tue"/>
  </r>
  <r>
    <d v="2025-03-12T00:00:00"/>
    <x v="1"/>
    <n v="45"/>
    <n v="1088000"/>
    <x v="11"/>
    <s v="Wed"/>
  </r>
  <r>
    <d v="2025-03-13T00:00:00"/>
    <x v="1"/>
    <n v="36"/>
    <n v="1039000"/>
    <x v="11"/>
    <s v="Thu"/>
  </r>
  <r>
    <d v="2025-03-14T00:00:00"/>
    <x v="1"/>
    <n v="35"/>
    <n v="932000"/>
    <x v="11"/>
    <s v="Fri"/>
  </r>
  <r>
    <d v="2025-03-15T00:00:00"/>
    <x v="1"/>
    <n v="23"/>
    <n v="648000"/>
    <x v="11"/>
    <s v="Sat"/>
  </r>
  <r>
    <d v="2025-03-16T00:00:00"/>
    <x v="1"/>
    <n v="27"/>
    <n v="685000"/>
    <x v="11"/>
    <s v="Sun"/>
  </r>
  <r>
    <d v="2025-03-17T00:00:00"/>
    <x v="1"/>
    <n v="38"/>
    <n v="973000"/>
    <x v="11"/>
    <s v="Mon"/>
  </r>
  <r>
    <d v="2025-03-18T00:00:00"/>
    <x v="1"/>
    <n v="43"/>
    <n v="1139000"/>
    <x v="11"/>
    <s v="Tue"/>
  </r>
  <r>
    <d v="2025-03-19T00:00:00"/>
    <x v="1"/>
    <n v="45"/>
    <n v="1166000"/>
    <x v="11"/>
    <s v="Wed"/>
  </r>
  <r>
    <d v="2025-03-20T00:00:00"/>
    <x v="1"/>
    <n v="43"/>
    <n v="1119000"/>
    <x v="11"/>
    <s v="Thu"/>
  </r>
  <r>
    <d v="2025-03-21T00:00:00"/>
    <x v="1"/>
    <n v="39"/>
    <n v="1072000"/>
    <x v="11"/>
    <s v="Fri"/>
  </r>
  <r>
    <d v="2025-03-22T00:00:00"/>
    <x v="1"/>
    <n v="28"/>
    <n v="696000"/>
    <x v="11"/>
    <s v="Sat"/>
  </r>
  <r>
    <d v="2025-03-23T00:00:00"/>
    <x v="1"/>
    <n v="27"/>
    <n v="728000"/>
    <x v="11"/>
    <s v="Sun"/>
  </r>
  <r>
    <d v="2025-03-24T00:00:00"/>
    <x v="1"/>
    <n v="39"/>
    <n v="1123000"/>
    <x v="11"/>
    <s v="Mon"/>
  </r>
  <r>
    <d v="2025-03-25T00:00:00"/>
    <x v="1"/>
    <n v="57"/>
    <n v="1240000"/>
    <x v="11"/>
    <s v="Tue"/>
  </r>
  <r>
    <d v="2025-03-26T00:00:00"/>
    <x v="1"/>
    <n v="40"/>
    <n v="1127000"/>
    <x v="11"/>
    <s v="Wed"/>
  </r>
  <r>
    <d v="2025-03-27T00:00:00"/>
    <x v="1"/>
    <n v="39"/>
    <n v="1015000"/>
    <x v="11"/>
    <s v="Thu"/>
  </r>
  <r>
    <d v="2025-03-28T00:00:00"/>
    <x v="1"/>
    <n v="42"/>
    <n v="1046000"/>
    <x v="11"/>
    <s v="Fri"/>
  </r>
  <r>
    <d v="2025-03-29T00:00:00"/>
    <x v="1"/>
    <n v="29"/>
    <n v="695000"/>
    <x v="11"/>
    <s v="Sat"/>
  </r>
  <r>
    <d v="2025-03-30T00:00:00"/>
    <x v="1"/>
    <n v="14"/>
    <n v="304000"/>
    <x v="11"/>
    <s v="Sun"/>
  </r>
  <r>
    <d v="2025-03-31T00:00:00"/>
    <x v="1"/>
    <n v="20"/>
    <n v="462000"/>
    <x v="11"/>
    <s v="Mon"/>
  </r>
  <r>
    <d v="2025-04-01T00:00:00"/>
    <x v="1"/>
    <n v="18"/>
    <n v="478000"/>
    <x v="12"/>
    <s v="Tue"/>
  </r>
  <r>
    <d v="2025-04-02T00:00:00"/>
    <x v="1"/>
    <n v="25"/>
    <n v="548000"/>
    <x v="12"/>
    <s v="Wed"/>
  </r>
  <r>
    <d v="2025-04-03T00:00:00"/>
    <x v="1"/>
    <n v="18"/>
    <n v="473000"/>
    <x v="12"/>
    <s v="Thu"/>
  </r>
  <r>
    <d v="2025-04-04T00:00:00"/>
    <x v="1"/>
    <n v="46"/>
    <n v="1174000"/>
    <x v="12"/>
    <s v="Fri"/>
  </r>
  <r>
    <d v="2025-04-05T00:00:00"/>
    <x v="1"/>
    <n v="29"/>
    <n v="845000"/>
    <x v="12"/>
    <s v="Sat"/>
  </r>
  <r>
    <d v="2025-04-06T00:00:00"/>
    <x v="1"/>
    <n v="24"/>
    <n v="734000"/>
    <x v="12"/>
    <s v="Sun"/>
  </r>
  <r>
    <d v="2025-04-07T00:00:00"/>
    <x v="1"/>
    <n v="49"/>
    <n v="1199000"/>
    <x v="12"/>
    <s v="Mon"/>
  </r>
  <r>
    <d v="2025-04-08T00:00:00"/>
    <x v="1"/>
    <n v="37"/>
    <n v="1115000"/>
    <x v="12"/>
    <s v="Tue"/>
  </r>
  <r>
    <d v="2025-04-09T00:00:00"/>
    <x v="1"/>
    <n v="30"/>
    <n v="1009000"/>
    <x v="12"/>
    <s v="Wed"/>
  </r>
  <r>
    <d v="2025-04-10T00:00:00"/>
    <x v="1"/>
    <n v="40"/>
    <n v="1074000"/>
    <x v="12"/>
    <s v="Thu"/>
  </r>
  <r>
    <d v="2025-04-11T00:00:00"/>
    <x v="1"/>
    <n v="36"/>
    <n v="1052000"/>
    <x v="12"/>
    <s v="Fri"/>
  </r>
  <r>
    <d v="2025-04-12T00:00:00"/>
    <x v="1"/>
    <n v="26"/>
    <n v="716000"/>
    <x v="12"/>
    <s v="Sat"/>
  </r>
  <r>
    <d v="2025-04-13T00:00:00"/>
    <x v="1"/>
    <n v="26"/>
    <n v="719000"/>
    <x v="12"/>
    <s v="Sun"/>
  </r>
  <r>
    <d v="2025-04-14T00:00:00"/>
    <x v="1"/>
    <n v="39"/>
    <n v="1065000"/>
    <x v="12"/>
    <s v="Mon"/>
  </r>
  <r>
    <d v="2025-04-15T00:00:00"/>
    <x v="1"/>
    <n v="41"/>
    <n v="1093000"/>
    <x v="12"/>
    <s v="Tue"/>
  </r>
  <r>
    <d v="2025-04-16T00:00:00"/>
    <x v="1"/>
    <n v="33"/>
    <n v="968000"/>
    <x v="12"/>
    <s v="Wed"/>
  </r>
  <r>
    <d v="2025-04-17T00:00:00"/>
    <x v="1"/>
    <n v="35"/>
    <n v="1052000"/>
    <x v="12"/>
    <s v="Thu"/>
  </r>
  <r>
    <d v="2025-04-18T00:00:00"/>
    <x v="1"/>
    <n v="33"/>
    <n v="909000"/>
    <x v="12"/>
    <s v="Fri"/>
  </r>
  <r>
    <d v="2025-04-19T00:00:00"/>
    <x v="1"/>
    <n v="24"/>
    <n v="751000"/>
    <x v="12"/>
    <s v="Sat"/>
  </r>
  <r>
    <d v="2025-04-20T00:00:00"/>
    <x v="1"/>
    <n v="25"/>
    <n v="775000"/>
    <x v="12"/>
    <s v="Sun"/>
  </r>
  <r>
    <d v="2025-04-21T00:00:00"/>
    <x v="1"/>
    <n v="36"/>
    <n v="1070000"/>
    <x v="12"/>
    <s v="Mon"/>
  </r>
  <r>
    <d v="2025-04-22T00:00:00"/>
    <x v="1"/>
    <n v="41"/>
    <n v="1082000"/>
    <x v="12"/>
    <s v="Tue"/>
  </r>
  <r>
    <d v="2025-04-23T00:00:00"/>
    <x v="1"/>
    <n v="34"/>
    <n v="1112000"/>
    <x v="12"/>
    <s v="Wed"/>
  </r>
  <r>
    <d v="2025-04-24T00:00:00"/>
    <x v="1"/>
    <n v="32"/>
    <n v="993000"/>
    <x v="12"/>
    <s v="Thu"/>
  </r>
  <r>
    <d v="2025-04-25T00:00:00"/>
    <x v="1"/>
    <n v="46"/>
    <n v="1034000"/>
    <x v="12"/>
    <s v="Fri"/>
  </r>
  <r>
    <d v="2025-04-26T00:00:00"/>
    <x v="1"/>
    <n v="31"/>
    <n v="770000"/>
    <x v="12"/>
    <s v="Sat"/>
  </r>
  <r>
    <d v="2025-04-27T00:00:00"/>
    <x v="1"/>
    <n v="30"/>
    <n v="803000"/>
    <x v="12"/>
    <s v="Sun"/>
  </r>
  <r>
    <d v="2025-04-28T00:00:00"/>
    <x v="1"/>
    <n v="36"/>
    <n v="1096000"/>
    <x v="12"/>
    <s v="Mon"/>
  </r>
  <r>
    <d v="2025-04-29T00:00:00"/>
    <x v="1"/>
    <n v="42"/>
    <n v="1302000"/>
    <x v="12"/>
    <s v="Tue"/>
  </r>
  <r>
    <d v="2025-04-30T00:00:00"/>
    <x v="1"/>
    <n v="39"/>
    <n v="1051000"/>
    <x v="12"/>
    <s v="Wed"/>
  </r>
  <r>
    <d v="2025-05-01T00:00:00"/>
    <x v="1"/>
    <n v="40"/>
    <n v="1155000"/>
    <x v="13"/>
    <s v="Thu"/>
  </r>
  <r>
    <d v="2025-05-02T00:00:00"/>
    <x v="1"/>
    <n v="40"/>
    <n v="1181000"/>
    <x v="13"/>
    <s v="Fri"/>
  </r>
  <r>
    <d v="2025-05-03T00:00:00"/>
    <x v="1"/>
    <n v="29"/>
    <n v="730000"/>
    <x v="13"/>
    <s v="Sat"/>
  </r>
  <r>
    <d v="2025-05-04T00:00:00"/>
    <x v="1"/>
    <n v="23"/>
    <n v="685000"/>
    <x v="13"/>
    <s v="Sun"/>
  </r>
  <r>
    <d v="2025-05-05T00:00:00"/>
    <x v="1"/>
    <n v="35"/>
    <n v="949000"/>
    <x v="13"/>
    <s v="Mon"/>
  </r>
  <r>
    <d v="2025-05-06T00:00:00"/>
    <x v="1"/>
    <n v="38"/>
    <n v="1078000"/>
    <x v="13"/>
    <s v="Tue"/>
  </r>
  <r>
    <d v="2025-05-07T00:00:00"/>
    <x v="1"/>
    <n v="42"/>
    <n v="1169000"/>
    <x v="13"/>
    <s v="Wed"/>
  </r>
  <r>
    <d v="2025-05-08T00:00:00"/>
    <x v="1"/>
    <n v="44"/>
    <n v="1090000"/>
    <x v="13"/>
    <s v="Thu"/>
  </r>
  <r>
    <d v="2025-05-09T00:00:00"/>
    <x v="1"/>
    <n v="42"/>
    <n v="1081000"/>
    <x v="13"/>
    <s v="Fri"/>
  </r>
  <r>
    <d v="2025-05-10T00:00:00"/>
    <x v="1"/>
    <n v="25"/>
    <n v="716000"/>
    <x v="13"/>
    <s v="Sat"/>
  </r>
  <r>
    <d v="2025-05-11T00:00:00"/>
    <x v="1"/>
    <n v="28"/>
    <n v="779000"/>
    <x v="13"/>
    <s v="Sun"/>
  </r>
  <r>
    <d v="2025-05-12T00:00:00"/>
    <x v="1"/>
    <n v="31"/>
    <n v="861000"/>
    <x v="13"/>
    <s v="Mon"/>
  </r>
  <r>
    <d v="2025-05-13T00:00:00"/>
    <x v="1"/>
    <n v="36"/>
    <n v="1088000"/>
    <x v="13"/>
    <s v="Tue"/>
  </r>
  <r>
    <d v="2025-05-14T00:00:00"/>
    <x v="1"/>
    <n v="39"/>
    <n v="1069000"/>
    <x v="13"/>
    <s v="Wed"/>
  </r>
  <r>
    <d v="2025-05-15T00:00:00"/>
    <x v="1"/>
    <n v="37"/>
    <n v="936000"/>
    <x v="13"/>
    <s v="Thu"/>
  </r>
  <r>
    <d v="2025-05-16T00:00:00"/>
    <x v="1"/>
    <n v="47"/>
    <n v="1277000"/>
    <x v="13"/>
    <s v="Fri"/>
  </r>
  <r>
    <d v="2025-05-17T00:00:00"/>
    <x v="1"/>
    <n v="24"/>
    <n v="651000"/>
    <x v="13"/>
    <s v="Sat"/>
  </r>
  <r>
    <d v="2025-05-18T00:00:00"/>
    <x v="1"/>
    <n v="24"/>
    <n v="672000"/>
    <x v="13"/>
    <s v="Sun"/>
  </r>
  <r>
    <d v="2025-05-19T00:00:00"/>
    <x v="1"/>
    <n v="31"/>
    <n v="954000"/>
    <x v="13"/>
    <s v="Mon"/>
  </r>
  <r>
    <d v="2025-05-20T00:00:00"/>
    <x v="1"/>
    <n v="40"/>
    <n v="1177000"/>
    <x v="13"/>
    <s v="Tue"/>
  </r>
  <r>
    <d v="2025-05-21T00:00:00"/>
    <x v="1"/>
    <n v="32"/>
    <n v="985000"/>
    <x v="13"/>
    <s v="Wed"/>
  </r>
  <r>
    <d v="2025-05-22T00:00:00"/>
    <x v="1"/>
    <n v="38"/>
    <n v="1135000"/>
    <x v="13"/>
    <s v="Thu"/>
  </r>
  <r>
    <d v="2025-05-23T00:00:00"/>
    <x v="1"/>
    <n v="41"/>
    <n v="1128000"/>
    <x v="13"/>
    <s v="Fri"/>
  </r>
  <r>
    <d v="2025-05-24T00:00:00"/>
    <x v="1"/>
    <n v="25"/>
    <n v="764000"/>
    <x v="13"/>
    <s v="Sat"/>
  </r>
  <r>
    <d v="2025-05-25T00:00:00"/>
    <x v="1"/>
    <n v="24"/>
    <n v="659000"/>
    <x v="13"/>
    <s v="Sun"/>
  </r>
  <r>
    <d v="2025-05-26T00:00:00"/>
    <x v="1"/>
    <n v="35"/>
    <n v="1014000"/>
    <x v="13"/>
    <s v="Mon"/>
  </r>
  <r>
    <d v="2025-05-27T00:00:00"/>
    <x v="1"/>
    <n v="48"/>
    <n v="1235000"/>
    <x v="13"/>
    <s v="Tue"/>
  </r>
  <r>
    <d v="2025-05-28T00:00:00"/>
    <x v="1"/>
    <n v="34"/>
    <n v="949000"/>
    <x v="13"/>
    <s v="Wed"/>
  </r>
  <r>
    <d v="2025-05-29T00:00:00"/>
    <x v="1"/>
    <n v="37"/>
    <n v="994000"/>
    <x v="13"/>
    <s v="Thu"/>
  </r>
  <r>
    <d v="2025-05-30T00:00:00"/>
    <x v="1"/>
    <n v="37"/>
    <n v="1059000"/>
    <x v="13"/>
    <s v="Fri"/>
  </r>
  <r>
    <d v="2025-05-31T00:00:00"/>
    <x v="1"/>
    <n v="25"/>
    <n v="804000"/>
    <x v="13"/>
    <s v="Sat"/>
  </r>
  <r>
    <d v="2025-06-01T00:00:00"/>
    <x v="1"/>
    <n v="23"/>
    <n v="766000"/>
    <x v="14"/>
    <s v="Sun"/>
  </r>
  <r>
    <d v="2025-06-02T00:00:00"/>
    <x v="1"/>
    <n v="38"/>
    <n v="1149000"/>
    <x v="14"/>
    <s v="Mon"/>
  </r>
  <r>
    <d v="2025-06-03T00:00:00"/>
    <x v="1"/>
    <n v="35"/>
    <n v="974000"/>
    <x v="14"/>
    <s v="Tue"/>
  </r>
  <r>
    <d v="2025-06-04T00:00:00"/>
    <x v="1"/>
    <n v="39"/>
    <n v="1169000"/>
    <x v="14"/>
    <s v="Wed"/>
  </r>
  <r>
    <d v="2025-06-05T00:00:00"/>
    <x v="1"/>
    <n v="40"/>
    <n v="1133000"/>
    <x v="14"/>
    <s v="Thu"/>
  </r>
  <r>
    <d v="2025-06-06T00:00:00"/>
    <x v="1"/>
    <n v="35"/>
    <n v="924000"/>
    <x v="14"/>
    <s v="Fri"/>
  </r>
  <r>
    <d v="2025-06-07T00:00:00"/>
    <x v="1"/>
    <n v="31"/>
    <n v="856000"/>
    <x v="14"/>
    <s v="Sat"/>
  </r>
  <r>
    <d v="2025-06-08T00:00:00"/>
    <x v="1"/>
    <n v="33"/>
    <n v="907000"/>
    <x v="14"/>
    <s v="Sun"/>
  </r>
  <r>
    <d v="2025-06-09T00:00:00"/>
    <x v="1"/>
    <n v="38"/>
    <n v="1006000"/>
    <x v="14"/>
    <s v="Mon"/>
  </r>
  <r>
    <d v="2025-06-10T00:00:00"/>
    <x v="1"/>
    <n v="35"/>
    <n v="1086000"/>
    <x v="14"/>
    <s v="Tue"/>
  </r>
  <r>
    <d v="2025-06-11T00:00:00"/>
    <x v="1"/>
    <n v="46"/>
    <n v="1217000"/>
    <x v="14"/>
    <s v="Wed"/>
  </r>
  <r>
    <d v="2025-06-12T00:00:00"/>
    <x v="1"/>
    <n v="35"/>
    <n v="938000"/>
    <x v="14"/>
    <s v="Thu"/>
  </r>
  <r>
    <d v="2025-06-13T00:00:00"/>
    <x v="1"/>
    <n v="30"/>
    <n v="889000"/>
    <x v="14"/>
    <s v="Fri"/>
  </r>
  <r>
    <d v="2025-06-14T00:00:00"/>
    <x v="1"/>
    <n v="25"/>
    <n v="666000"/>
    <x v="14"/>
    <s v="Sat"/>
  </r>
  <r>
    <d v="2025-06-15T00:00:00"/>
    <x v="1"/>
    <n v="28"/>
    <n v="716000"/>
    <x v="14"/>
    <s v="Sun"/>
  </r>
  <r>
    <d v="2025-06-16T00:00:00"/>
    <x v="1"/>
    <n v="40"/>
    <n v="1027000"/>
    <x v="14"/>
    <s v="Mon"/>
  </r>
  <r>
    <d v="2025-06-17T00:00:00"/>
    <x v="1"/>
    <n v="39"/>
    <n v="1144000"/>
    <x v="14"/>
    <s v="Tue"/>
  </r>
  <r>
    <d v="2025-06-18T00:00:00"/>
    <x v="1"/>
    <n v="38"/>
    <n v="1111000"/>
    <x v="14"/>
    <s v="Wed"/>
  </r>
  <r>
    <d v="2025-06-19T00:00:00"/>
    <x v="1"/>
    <n v="33"/>
    <n v="964000"/>
    <x v="14"/>
    <s v="Thu"/>
  </r>
  <r>
    <d v="2025-06-20T00:00:00"/>
    <x v="1"/>
    <n v="42"/>
    <n v="1141000"/>
    <x v="14"/>
    <s v="Fri"/>
  </r>
  <r>
    <d v="2025-06-21T00:00:00"/>
    <x v="1"/>
    <n v="34"/>
    <n v="884000"/>
    <x v="14"/>
    <s v="Sat"/>
  </r>
  <r>
    <d v="2025-06-22T00:00:00"/>
    <x v="1"/>
    <n v="28"/>
    <n v="839000"/>
    <x v="14"/>
    <s v="Sun"/>
  </r>
  <r>
    <d v="2025-06-23T00:00:00"/>
    <x v="1"/>
    <n v="49"/>
    <n v="1185000"/>
    <x v="14"/>
    <s v="Mon"/>
  </r>
  <r>
    <d v="2025-06-24T00:00:00"/>
    <x v="1"/>
    <n v="40"/>
    <n v="1090000"/>
    <x v="14"/>
    <s v="Tue"/>
  </r>
  <r>
    <d v="2025-06-25T00:00:00"/>
    <x v="1"/>
    <n v="48"/>
    <n v="1185000"/>
    <x v="14"/>
    <s v="Wed"/>
  </r>
  <r>
    <d v="2025-06-26T00:00:00"/>
    <x v="1"/>
    <n v="37"/>
    <n v="994000"/>
    <x v="14"/>
    <s v="Thu"/>
  </r>
  <r>
    <d v="2025-06-27T00:00:00"/>
    <x v="1"/>
    <n v="42"/>
    <n v="1163000"/>
    <x v="14"/>
    <s v="Fri"/>
  </r>
  <r>
    <d v="2025-06-28T00:00:00"/>
    <x v="1"/>
    <n v="24"/>
    <n v="753000"/>
    <x v="14"/>
    <s v="Sat"/>
  </r>
  <r>
    <d v="2025-06-29T00:00:00"/>
    <x v="1"/>
    <n v="40"/>
    <n v="837000"/>
    <x v="14"/>
    <s v="Sun"/>
  </r>
  <r>
    <d v="2025-06-30T00:00:00"/>
    <x v="1"/>
    <n v="36"/>
    <n v="1137000"/>
    <x v="14"/>
    <s v="Mon"/>
  </r>
  <r>
    <d v="2025-07-01T00:00:00"/>
    <x v="1"/>
    <n v="38"/>
    <n v="985000"/>
    <x v="15"/>
    <s v="Tue"/>
  </r>
  <r>
    <d v="2025-07-02T00:00:00"/>
    <x v="1"/>
    <n v="38"/>
    <n v="1105000"/>
    <x v="15"/>
    <s v="Wed"/>
  </r>
  <r>
    <d v="2025-07-03T00:00:00"/>
    <x v="1"/>
    <n v="40"/>
    <n v="1213000"/>
    <x v="15"/>
    <s v="Thu"/>
  </r>
  <r>
    <d v="2025-07-04T00:00:00"/>
    <x v="1"/>
    <n v="38"/>
    <n v="982000"/>
    <x v="15"/>
    <s v="Fri"/>
  </r>
  <r>
    <d v="2025-07-05T00:00:00"/>
    <x v="1"/>
    <n v="26"/>
    <n v="723000"/>
    <x v="15"/>
    <s v="Sat"/>
  </r>
  <r>
    <d v="2025-07-06T00:00:00"/>
    <x v="1"/>
    <n v="24"/>
    <n v="709000"/>
    <x v="15"/>
    <s v="Sun"/>
  </r>
  <r>
    <d v="2025-07-07T00:00:00"/>
    <x v="1"/>
    <n v="34"/>
    <n v="947000"/>
    <x v="15"/>
    <s v="Mon"/>
  </r>
  <r>
    <d v="2025-07-08T00:00:00"/>
    <x v="1"/>
    <n v="45"/>
    <n v="1190000"/>
    <x v="15"/>
    <s v="Tue"/>
  </r>
  <r>
    <d v="2025-07-09T00:00:00"/>
    <x v="1"/>
    <n v="43"/>
    <n v="1225000"/>
    <x v="15"/>
    <s v="Wed"/>
  </r>
  <r>
    <d v="2025-07-10T00:00:00"/>
    <x v="1"/>
    <n v="41"/>
    <n v="1175000"/>
    <x v="15"/>
    <s v="Thu"/>
  </r>
  <r>
    <d v="2025-07-11T00:00:00"/>
    <x v="1"/>
    <n v="46"/>
    <n v="1121000"/>
    <x v="15"/>
    <s v="Fri"/>
  </r>
  <r>
    <d v="2025-07-12T00:00:00"/>
    <x v="1"/>
    <n v="24"/>
    <n v="761000"/>
    <x v="15"/>
    <s v="Sat"/>
  </r>
  <r>
    <d v="2025-07-13T00:00:00"/>
    <x v="1"/>
    <n v="27"/>
    <n v="781000"/>
    <x v="15"/>
    <s v="Sun"/>
  </r>
  <r>
    <d v="2025-07-14T00:00:00"/>
    <x v="1"/>
    <n v="47"/>
    <n v="1026000"/>
    <x v="15"/>
    <s v="Mon"/>
  </r>
  <r>
    <d v="2025-07-15T00:00:00"/>
    <x v="1"/>
    <n v="46"/>
    <n v="1187000"/>
    <x v="15"/>
    <s v="Tue"/>
  </r>
  <r>
    <d v="2025-07-16T00:00:00"/>
    <x v="1"/>
    <n v="37"/>
    <n v="1203000"/>
    <x v="15"/>
    <s v="Wed"/>
  </r>
  <r>
    <d v="2025-07-17T00:00:00"/>
    <x v="1"/>
    <n v="37"/>
    <n v="1192000"/>
    <x v="15"/>
    <s v="Thu"/>
  </r>
  <r>
    <d v="2025-07-18T00:00:00"/>
    <x v="1"/>
    <n v="36"/>
    <n v="1048000"/>
    <x v="15"/>
    <s v="Fri"/>
  </r>
  <r>
    <d v="2025-07-19T00:00:00"/>
    <x v="1"/>
    <n v="32"/>
    <n v="772000"/>
    <x v="15"/>
    <s v="Sat"/>
  </r>
  <r>
    <d v="2025-07-20T00:00:00"/>
    <x v="1"/>
    <n v="27"/>
    <n v="756000"/>
    <x v="15"/>
    <s v="Sun"/>
  </r>
  <r>
    <d v="2025-07-21T00:00:00"/>
    <x v="1"/>
    <n v="42"/>
    <n v="1280000"/>
    <x v="15"/>
    <s v="Mon"/>
  </r>
  <r>
    <d v="2025-07-22T00:00:00"/>
    <x v="1"/>
    <n v="39"/>
    <n v="1121000"/>
    <x v="15"/>
    <s v="Tue"/>
  </r>
  <r>
    <d v="2025-07-23T00:00:00"/>
    <x v="1"/>
    <n v="34"/>
    <n v="916000"/>
    <x v="15"/>
    <s v="Wed"/>
  </r>
  <r>
    <d v="2025-07-24T00:00:00"/>
    <x v="1"/>
    <n v="44"/>
    <n v="1143000"/>
    <x v="15"/>
    <s v="Thu"/>
  </r>
  <r>
    <d v="2025-07-25T00:00:00"/>
    <x v="1"/>
    <n v="43"/>
    <n v="1291000"/>
    <x v="15"/>
    <s v="Fri"/>
  </r>
  <r>
    <d v="2025-07-26T00:00:00"/>
    <x v="1"/>
    <n v="30"/>
    <n v="817000"/>
    <x v="15"/>
    <s v="Sat"/>
  </r>
  <r>
    <d v="2025-07-27T00:00:00"/>
    <x v="1"/>
    <n v="29"/>
    <n v="831000"/>
    <x v="15"/>
    <s v="Sun"/>
  </r>
  <r>
    <d v="2025-07-28T00:00:00"/>
    <x v="1"/>
    <n v="38"/>
    <n v="1109000"/>
    <x v="15"/>
    <s v="Mon"/>
  </r>
  <r>
    <d v="2025-07-29T00:00:00"/>
    <x v="1"/>
    <n v="28"/>
    <n v="910000"/>
    <x v="15"/>
    <s v="Tue"/>
  </r>
  <r>
    <d v="2025-07-30T00:00:00"/>
    <x v="1"/>
    <n v="32"/>
    <n v="927000"/>
    <x v="15"/>
    <s v="Wed"/>
  </r>
  <r>
    <d v="2025-07-31T00:00:00"/>
    <x v="1"/>
    <n v="34"/>
    <n v="983000"/>
    <x v="15"/>
    <s v="Thu"/>
  </r>
  <r>
    <d v="2025-08-01T00:00:00"/>
    <x v="1"/>
    <n v="46"/>
    <n v="1095000"/>
    <x v="16"/>
    <s v="Fri"/>
  </r>
  <r>
    <d v="2025-08-02T00:00:00"/>
    <x v="1"/>
    <n v="26"/>
    <n v="793000"/>
    <x v="16"/>
    <s v="Sat"/>
  </r>
  <r>
    <d v="2025-08-03T00:00:00"/>
    <x v="1"/>
    <n v="27"/>
    <n v="820000"/>
    <x v="16"/>
    <s v="Sun"/>
  </r>
  <r>
    <d v="2025-08-04T00:00:00"/>
    <x v="1"/>
    <n v="38"/>
    <n v="1075000"/>
    <x v="16"/>
    <s v="Mon"/>
  </r>
  <r>
    <d v="2025-08-05T00:00:00"/>
    <x v="1"/>
    <n v="54"/>
    <n v="1206000"/>
    <x v="16"/>
    <s v="Tue"/>
  </r>
  <r>
    <d v="2025-08-06T00:00:00"/>
    <x v="1"/>
    <n v="41"/>
    <n v="1083000"/>
    <x v="16"/>
    <s v="Wed"/>
  </r>
  <r>
    <d v="2025-08-07T00:00:00"/>
    <x v="1"/>
    <n v="37"/>
    <n v="1041000"/>
    <x v="16"/>
    <s v="Thu"/>
  </r>
  <r>
    <d v="2025-08-08T00:00:00"/>
    <x v="1"/>
    <n v="36"/>
    <n v="1197000"/>
    <x v="16"/>
    <s v="Fri"/>
  </r>
  <r>
    <d v="2025-08-09T00:00:00"/>
    <x v="1"/>
    <n v="24"/>
    <n v="711000"/>
    <x v="16"/>
    <s v="Sat"/>
  </r>
  <r>
    <d v="2025-08-10T00:00:00"/>
    <x v="1"/>
    <n v="19"/>
    <n v="585000"/>
    <x v="16"/>
    <s v="Sun"/>
  </r>
  <r>
    <d v="2025-08-11T00:00:00"/>
    <x v="1"/>
    <n v="33"/>
    <n v="1007000"/>
    <x v="16"/>
    <s v="Mon"/>
  </r>
  <r>
    <d v="2025-08-12T00:00:00"/>
    <x v="1"/>
    <n v="36"/>
    <n v="1123000"/>
    <x v="16"/>
    <s v="Tue"/>
  </r>
  <r>
    <d v="2025-08-13T00:00:00"/>
    <x v="1"/>
    <n v="32"/>
    <n v="805000"/>
    <x v="16"/>
    <s v="Wed"/>
  </r>
  <r>
    <d v="2025-08-14T00:00:00"/>
    <x v="1"/>
    <n v="42"/>
    <n v="1079000"/>
    <x v="16"/>
    <s v="Thu"/>
  </r>
  <r>
    <d v="2025-08-15T00:00:00"/>
    <x v="1"/>
    <n v="43"/>
    <n v="1082000"/>
    <x v="16"/>
    <s v="Fri"/>
  </r>
  <r>
    <d v="2025-08-16T00:00:00"/>
    <x v="1"/>
    <n v="25"/>
    <n v="677000"/>
    <x v="16"/>
    <s v="Sat"/>
  </r>
  <r>
    <d v="2025-08-17T00:00:00"/>
    <x v="1"/>
    <n v="25"/>
    <n v="674000"/>
    <x v="16"/>
    <s v="Sun"/>
  </r>
  <r>
    <d v="2025-08-18T00:00:00"/>
    <x v="1"/>
    <n v="38"/>
    <n v="1070000"/>
    <x v="16"/>
    <s v="Mon"/>
  </r>
  <r>
    <d v="2025-08-19T00:00:00"/>
    <x v="1"/>
    <n v="42"/>
    <n v="1062000"/>
    <x v="16"/>
    <s v="Tue"/>
  </r>
  <r>
    <d v="2025-08-20T00:00:00"/>
    <x v="1"/>
    <n v="44"/>
    <n v="1245000"/>
    <x v="16"/>
    <s v="Wed"/>
  </r>
  <r>
    <d v="2025-08-21T00:00:00"/>
    <x v="1"/>
    <n v="45"/>
    <n v="1156000"/>
    <x v="16"/>
    <s v="Thu"/>
  </r>
  <r>
    <d v="2025-08-22T00:00:00"/>
    <x v="1"/>
    <n v="29"/>
    <n v="960000"/>
    <x v="16"/>
    <s v="Fri"/>
  </r>
  <r>
    <d v="2025-08-23T00:00:00"/>
    <x v="1"/>
    <n v="27"/>
    <n v="720000"/>
    <x v="16"/>
    <s v="Sat"/>
  </r>
  <r>
    <d v="2025-08-24T00:00:00"/>
    <x v="1"/>
    <n v="24"/>
    <n v="829000"/>
    <x v="16"/>
    <s v="Sun"/>
  </r>
  <r>
    <d v="2025-08-25T00:00:00"/>
    <x v="1"/>
    <n v="41"/>
    <n v="1312000"/>
    <x v="16"/>
    <s v="Mon"/>
  </r>
  <r>
    <d v="2025-08-26T00:00:00"/>
    <x v="1"/>
    <n v="46"/>
    <n v="1160000"/>
    <x v="16"/>
    <s v="Tue"/>
  </r>
  <r>
    <d v="2025-08-27T00:00:00"/>
    <x v="1"/>
    <n v="38"/>
    <n v="1153000"/>
    <x v="16"/>
    <s v="Wed"/>
  </r>
  <r>
    <d v="2025-08-28T00:00:00"/>
    <x v="1"/>
    <n v="44"/>
    <n v="1310000"/>
    <x v="16"/>
    <s v="Thu"/>
  </r>
  <r>
    <d v="2025-08-29T00:00:00"/>
    <x v="1"/>
    <n v="46"/>
    <n v="1120000"/>
    <x v="16"/>
    <s v="Fri"/>
  </r>
  <r>
    <d v="2025-08-30T00:00:00"/>
    <x v="1"/>
    <n v="26"/>
    <n v="760000"/>
    <x v="16"/>
    <s v="Sat"/>
  </r>
  <r>
    <d v="2025-08-31T00:00:00"/>
    <x v="1"/>
    <n v="25"/>
    <n v="683000"/>
    <x v="16"/>
    <s v="Sun"/>
  </r>
  <r>
    <d v="2025-09-01T00:00:00"/>
    <x v="1"/>
    <n v="37"/>
    <n v="1072000"/>
    <x v="17"/>
    <s v="Mon"/>
  </r>
  <r>
    <d v="2025-09-02T00:00:00"/>
    <x v="1"/>
    <n v="52"/>
    <n v="1345000"/>
    <x v="17"/>
    <s v="Tue"/>
  </r>
  <r>
    <d v="2025-09-03T00:00:00"/>
    <x v="1"/>
    <n v="35"/>
    <n v="981000"/>
    <x v="17"/>
    <s v="Wed"/>
  </r>
  <r>
    <d v="2025-09-04T00:00:00"/>
    <x v="1"/>
    <n v="39"/>
    <n v="1127000"/>
    <x v="17"/>
    <s v="Thu"/>
  </r>
  <r>
    <d v="2025-09-05T00:00:00"/>
    <x v="1"/>
    <n v="36"/>
    <n v="983000"/>
    <x v="17"/>
    <s v="Fri"/>
  </r>
  <r>
    <d v="2025-09-06T00:00:00"/>
    <x v="1"/>
    <n v="30"/>
    <n v="794000"/>
    <x v="17"/>
    <s v="Sat"/>
  </r>
  <r>
    <d v="2025-09-07T00:00:00"/>
    <x v="1"/>
    <n v="31"/>
    <n v="848000"/>
    <x v="17"/>
    <s v="Sun"/>
  </r>
  <r>
    <d v="2025-09-08T00:00:00"/>
    <x v="1"/>
    <n v="43"/>
    <n v="1103000"/>
    <x v="17"/>
    <s v="Mon"/>
  </r>
  <r>
    <d v="2025-09-09T00:00:00"/>
    <x v="1"/>
    <n v="42"/>
    <n v="1202000"/>
    <x v="17"/>
    <s v="Tue"/>
  </r>
  <r>
    <d v="2025-09-10T00:00:00"/>
    <x v="1"/>
    <n v="55"/>
    <n v="1202000"/>
    <x v="17"/>
    <s v="Wed"/>
  </r>
  <r>
    <d v="2025-09-11T00:00:00"/>
    <x v="1"/>
    <n v="37"/>
    <n v="1175000"/>
    <x v="17"/>
    <s v="Thu"/>
  </r>
  <r>
    <d v="2025-09-12T00:00:00"/>
    <x v="1"/>
    <n v="46"/>
    <n v="1304000"/>
    <x v="17"/>
    <s v="Fri"/>
  </r>
  <r>
    <d v="2025-09-13T00:00:00"/>
    <x v="1"/>
    <n v="29"/>
    <n v="842000"/>
    <x v="17"/>
    <s v="Sat"/>
  </r>
  <r>
    <d v="2025-09-14T00:00:00"/>
    <x v="1"/>
    <n v="25"/>
    <n v="766000"/>
    <x v="17"/>
    <s v="Sun"/>
  </r>
  <r>
    <d v="2025-09-15T00:00:00"/>
    <x v="1"/>
    <n v="43"/>
    <n v="1062000"/>
    <x v="17"/>
    <s v="Mon"/>
  </r>
  <r>
    <d v="2025-09-16T00:00:00"/>
    <x v="1"/>
    <n v="31"/>
    <n v="1046000"/>
    <x v="17"/>
    <s v="Tue"/>
  </r>
  <r>
    <d v="2025-09-17T00:00:00"/>
    <x v="1"/>
    <n v="47"/>
    <n v="1181000"/>
    <x v="17"/>
    <s v="Wed"/>
  </r>
  <r>
    <d v="2025-09-18T00:00:00"/>
    <x v="1"/>
    <n v="38"/>
    <n v="1100000"/>
    <x v="17"/>
    <s v="Thu"/>
  </r>
  <r>
    <d v="2025-09-19T00:00:00"/>
    <x v="1"/>
    <n v="49"/>
    <n v="1412000"/>
    <x v="17"/>
    <s v="Fri"/>
  </r>
  <r>
    <d v="2025-09-20T00:00:00"/>
    <x v="1"/>
    <n v="29"/>
    <n v="921000"/>
    <x v="17"/>
    <s v="Sat"/>
  </r>
  <r>
    <d v="2025-09-21T00:00:00"/>
    <x v="1"/>
    <n v="28"/>
    <n v="775000"/>
    <x v="17"/>
    <s v="Sun"/>
  </r>
  <r>
    <d v="2025-09-22T00:00:00"/>
    <x v="1"/>
    <n v="45"/>
    <n v="1101000"/>
    <x v="17"/>
    <s v="Mon"/>
  </r>
  <r>
    <d v="2025-09-23T00:00:00"/>
    <x v="1"/>
    <n v="45"/>
    <n v="1308000"/>
    <x v="17"/>
    <s v="Tue"/>
  </r>
  <r>
    <d v="2025-09-24T00:00:00"/>
    <x v="1"/>
    <n v="43"/>
    <n v="944000"/>
    <x v="17"/>
    <s v="Wed"/>
  </r>
  <r>
    <d v="2025-09-25T00:00:00"/>
    <x v="1"/>
    <n v="40"/>
    <n v="1090000"/>
    <x v="17"/>
    <s v="Thu"/>
  </r>
  <r>
    <d v="2025-09-26T00:00:00"/>
    <x v="1"/>
    <n v="46"/>
    <n v="1234000"/>
    <x v="17"/>
    <s v="Fri"/>
  </r>
  <r>
    <d v="2025-09-27T00:00:00"/>
    <x v="1"/>
    <n v="23"/>
    <n v="727000"/>
    <x v="17"/>
    <s v="Sat"/>
  </r>
  <r>
    <d v="2025-09-28T00:00:00"/>
    <x v="1"/>
    <n v="28"/>
    <n v="759000"/>
    <x v="17"/>
    <s v="Sun"/>
  </r>
  <r>
    <d v="2025-09-29T00:00:00"/>
    <x v="1"/>
    <n v="41"/>
    <n v="1103000"/>
    <x v="17"/>
    <s v="Mon"/>
  </r>
  <r>
    <d v="2025-09-30T00:00:00"/>
    <x v="1"/>
    <n v="46"/>
    <n v="1207000"/>
    <x v="17"/>
    <s v="Tue"/>
  </r>
  <r>
    <d v="2025-10-01T00:00:00"/>
    <x v="1"/>
    <n v="45"/>
    <n v="1154000"/>
    <x v="18"/>
    <s v="Wed"/>
  </r>
  <r>
    <d v="2025-10-02T00:00:00"/>
    <x v="1"/>
    <n v="44"/>
    <n v="1182000"/>
    <x v="18"/>
    <s v="Thu"/>
  </r>
  <r>
    <d v="2025-10-03T00:00:00"/>
    <x v="1"/>
    <n v="41"/>
    <n v="1202000"/>
    <x v="18"/>
    <s v="Fri"/>
  </r>
  <r>
    <d v="2025-10-04T00:00:00"/>
    <x v="1"/>
    <n v="32"/>
    <n v="797000"/>
    <x v="18"/>
    <s v="Sat"/>
  </r>
  <r>
    <d v="2025-10-05T00:00:00"/>
    <x v="1"/>
    <n v="32"/>
    <n v="875000"/>
    <x v="18"/>
    <s v="Sun"/>
  </r>
  <r>
    <d v="2025-10-06T00:00:00"/>
    <x v="1"/>
    <n v="44"/>
    <n v="1067000"/>
    <x v="18"/>
    <s v="Mon"/>
  </r>
  <r>
    <d v="2025-10-07T00:00:00"/>
    <x v="1"/>
    <n v="36"/>
    <n v="995000"/>
    <x v="18"/>
    <s v="Tue"/>
  </r>
  <r>
    <d v="2025-10-08T00:00:00"/>
    <x v="1"/>
    <n v="34"/>
    <n v="961000"/>
    <x v="18"/>
    <s v="Wed"/>
  </r>
  <r>
    <d v="2025-10-09T00:00:00"/>
    <x v="1"/>
    <n v="39"/>
    <n v="977000"/>
    <x v="18"/>
    <s v="Thu"/>
  </r>
  <r>
    <d v="2025-10-10T00:00:00"/>
    <x v="1"/>
    <n v="41"/>
    <n v="1088000"/>
    <x v="18"/>
    <s v="Fri"/>
  </r>
  <r>
    <d v="2025-10-11T00:00:00"/>
    <x v="1"/>
    <n v="31"/>
    <n v="871000"/>
    <x v="18"/>
    <s v="Sat"/>
  </r>
  <r>
    <d v="2025-10-12T00:00:00"/>
    <x v="1"/>
    <n v="27"/>
    <n v="810000"/>
    <x v="18"/>
    <s v="Sun"/>
  </r>
  <r>
    <d v="2025-10-13T00:00:00"/>
    <x v="1"/>
    <n v="36"/>
    <n v="1084000"/>
    <x v="18"/>
    <s v="Mon"/>
  </r>
  <r>
    <d v="2025-10-14T00:00:00"/>
    <x v="1"/>
    <n v="37"/>
    <n v="1036000"/>
    <x v="18"/>
    <s v="Tue"/>
  </r>
  <r>
    <d v="2025-10-15T00:00:00"/>
    <x v="1"/>
    <n v="43"/>
    <n v="1092000"/>
    <x v="18"/>
    <s v="Wed"/>
  </r>
  <r>
    <d v="2025-10-16T00:00:00"/>
    <x v="1"/>
    <n v="46"/>
    <n v="1106000"/>
    <x v="18"/>
    <s v="Thu"/>
  </r>
  <r>
    <d v="2025-10-17T00:00:00"/>
    <x v="1"/>
    <n v="36"/>
    <n v="1090000"/>
    <x v="18"/>
    <s v="Fri"/>
  </r>
  <r>
    <d v="2025-10-18T00:00:00"/>
    <x v="1"/>
    <n v="22"/>
    <n v="697000"/>
    <x v="18"/>
    <s v="Sat"/>
  </r>
  <r>
    <d v="2025-10-19T00:00:00"/>
    <x v="1"/>
    <n v="26"/>
    <n v="766000"/>
    <x v="18"/>
    <s v="Sun"/>
  </r>
  <r>
    <d v="2025-10-20T00:00:00"/>
    <x v="1"/>
    <n v="39"/>
    <n v="1255000"/>
    <x v="18"/>
    <s v="Mon"/>
  </r>
  <r>
    <d v="2025-10-21T00:00:00"/>
    <x v="1"/>
    <n v="34"/>
    <n v="925000"/>
    <x v="18"/>
    <s v="Tue"/>
  </r>
  <r>
    <d v="2025-10-22T00:00:00"/>
    <x v="1"/>
    <n v="42"/>
    <n v="1126000"/>
    <x v="18"/>
    <s v="Wed"/>
  </r>
  <r>
    <d v="2025-10-23T00:00:00"/>
    <x v="1"/>
    <n v="29"/>
    <n v="931000"/>
    <x v="18"/>
    <s v="Thu"/>
  </r>
  <r>
    <d v="2025-10-24T00:00:00"/>
    <x v="1"/>
    <n v="46"/>
    <n v="1171000"/>
    <x v="18"/>
    <s v="Fri"/>
  </r>
  <r>
    <d v="2025-10-25T00:00:00"/>
    <x v="1"/>
    <n v="25"/>
    <n v="748000"/>
    <x v="18"/>
    <s v="Sat"/>
  </r>
  <r>
    <d v="2025-10-26T00:00:00"/>
    <x v="1"/>
    <n v="23"/>
    <n v="652000"/>
    <x v="18"/>
    <s v="Sun"/>
  </r>
  <r>
    <d v="2025-10-27T00:00:00"/>
    <x v="1"/>
    <n v="41"/>
    <n v="1164000"/>
    <x v="18"/>
    <s v="Mon"/>
  </r>
  <r>
    <d v="2025-10-28T00:00:00"/>
    <x v="1"/>
    <n v="42"/>
    <n v="1343000"/>
    <x v="18"/>
    <s v="Tue"/>
  </r>
  <r>
    <d v="2025-10-29T00:00:00"/>
    <x v="1"/>
    <n v="45"/>
    <n v="1166000"/>
    <x v="18"/>
    <s v="Wed"/>
  </r>
  <r>
    <d v="2025-10-30T00:00:00"/>
    <x v="1"/>
    <n v="47"/>
    <n v="1276000"/>
    <x v="18"/>
    <s v="Thu"/>
  </r>
  <r>
    <d v="2025-10-31T00:00:00"/>
    <x v="1"/>
    <n v="50"/>
    <n v="1148000"/>
    <x v="18"/>
    <s v="Fri"/>
  </r>
  <r>
    <d v="2025-11-01T00:00:00"/>
    <x v="1"/>
    <n v="26"/>
    <n v="649000"/>
    <x v="19"/>
    <s v="Sat"/>
  </r>
  <r>
    <d v="2025-11-02T00:00:00"/>
    <x v="1"/>
    <n v="31"/>
    <n v="841000"/>
    <x v="19"/>
    <s v="Sun"/>
  </r>
  <r>
    <d v="2025-11-03T00:00:00"/>
    <x v="1"/>
    <n v="41"/>
    <n v="1113000"/>
    <x v="19"/>
    <s v="Mon"/>
  </r>
  <r>
    <d v="2025-11-04T00:00:00"/>
    <x v="1"/>
    <n v="37"/>
    <n v="1005000"/>
    <x v="19"/>
    <s v="Tue"/>
  </r>
  <r>
    <d v="2025-11-05T00:00:00"/>
    <x v="1"/>
    <n v="43"/>
    <n v="1240000"/>
    <x v="19"/>
    <s v="Wed"/>
  </r>
  <r>
    <d v="2025-11-06T00:00:00"/>
    <x v="1"/>
    <n v="45"/>
    <n v="1188000"/>
    <x v="19"/>
    <s v="Thu"/>
  </r>
  <r>
    <d v="2025-11-07T00:00:00"/>
    <x v="1"/>
    <n v="48"/>
    <n v="1104000"/>
    <x v="19"/>
    <s v="Fri"/>
  </r>
  <r>
    <d v="2025-11-08T00:00:00"/>
    <x v="1"/>
    <n v="31"/>
    <n v="871000"/>
    <x v="19"/>
    <s v="Sat"/>
  </r>
  <r>
    <d v="2025-11-09T00:00:00"/>
    <x v="1"/>
    <n v="26"/>
    <n v="744000"/>
    <x v="19"/>
    <s v="Sun"/>
  </r>
  <r>
    <d v="2025-11-10T00:00:00"/>
    <x v="1"/>
    <n v="49"/>
    <n v="1228000"/>
    <x v="19"/>
    <s v="Mon"/>
  </r>
  <r>
    <d v="2025-11-11T00:00:00"/>
    <x v="1"/>
    <n v="41"/>
    <n v="1063000"/>
    <x v="19"/>
    <s v="Tue"/>
  </r>
  <r>
    <d v="2025-11-12T00:00:00"/>
    <x v="1"/>
    <n v="38"/>
    <n v="1217000"/>
    <x v="19"/>
    <s v="Wed"/>
  </r>
  <r>
    <d v="2025-11-13T00:00:00"/>
    <x v="1"/>
    <n v="34"/>
    <n v="1047000"/>
    <x v="19"/>
    <s v="Thu"/>
  </r>
  <r>
    <d v="2025-11-14T00:00:00"/>
    <x v="1"/>
    <n v="43"/>
    <n v="1319000"/>
    <x v="19"/>
    <s v="Fri"/>
  </r>
  <r>
    <d v="2025-11-15T00:00:00"/>
    <x v="1"/>
    <n v="28"/>
    <n v="829000"/>
    <x v="19"/>
    <s v="Sat"/>
  </r>
  <r>
    <d v="2025-11-16T00:00:00"/>
    <x v="1"/>
    <n v="32"/>
    <n v="915000"/>
    <x v="19"/>
    <s v="Sun"/>
  </r>
  <r>
    <d v="2025-11-17T00:00:00"/>
    <x v="1"/>
    <n v="40"/>
    <n v="1078000"/>
    <x v="19"/>
    <s v="Mon"/>
  </r>
  <r>
    <d v="2025-11-18T00:00:00"/>
    <x v="1"/>
    <n v="38"/>
    <n v="1115000"/>
    <x v="19"/>
    <s v="Tue"/>
  </r>
  <r>
    <d v="2025-11-19T00:00:00"/>
    <x v="1"/>
    <n v="46"/>
    <n v="1253000"/>
    <x v="19"/>
    <s v="Wed"/>
  </r>
  <r>
    <d v="2025-11-20T00:00:00"/>
    <x v="1"/>
    <n v="33"/>
    <n v="878000"/>
    <x v="19"/>
    <s v="Thu"/>
  </r>
  <r>
    <d v="2025-11-21T00:00:00"/>
    <x v="1"/>
    <n v="38"/>
    <n v="1054000"/>
    <x v="19"/>
    <s v="Fri"/>
  </r>
  <r>
    <d v="2025-11-22T00:00:00"/>
    <x v="1"/>
    <n v="32"/>
    <n v="888000"/>
    <x v="19"/>
    <s v="Sat"/>
  </r>
  <r>
    <d v="2025-11-23T00:00:00"/>
    <x v="1"/>
    <n v="28"/>
    <n v="847000"/>
    <x v="19"/>
    <s v="Sun"/>
  </r>
  <r>
    <d v="2025-11-24T00:00:00"/>
    <x v="1"/>
    <n v="50"/>
    <n v="1271000"/>
    <x v="19"/>
    <s v="Mon"/>
  </r>
  <r>
    <d v="2025-11-25T00:00:00"/>
    <x v="1"/>
    <n v="33"/>
    <n v="1136000"/>
    <x v="19"/>
    <s v="Tue"/>
  </r>
  <r>
    <d v="2025-11-26T00:00:00"/>
    <x v="1"/>
    <n v="48"/>
    <n v="1228000"/>
    <x v="19"/>
    <s v="Wed"/>
  </r>
  <r>
    <d v="2025-11-27T00:00:00"/>
    <x v="1"/>
    <n v="41"/>
    <n v="1093000"/>
    <x v="19"/>
    <s v="Thu"/>
  </r>
  <r>
    <d v="2025-11-28T00:00:00"/>
    <x v="1"/>
    <n v="34"/>
    <n v="1026000"/>
    <x v="19"/>
    <s v="Fri"/>
  </r>
  <r>
    <d v="2025-11-29T00:00:00"/>
    <x v="1"/>
    <n v="27"/>
    <n v="691000"/>
    <x v="19"/>
    <s v="Sat"/>
  </r>
  <r>
    <d v="2025-11-30T00:00:00"/>
    <x v="1"/>
    <n v="29"/>
    <n v="775000"/>
    <x v="19"/>
    <s v="Sun"/>
  </r>
  <r>
    <d v="2025-12-01T00:00:00"/>
    <x v="1"/>
    <n v="48"/>
    <n v="1336000"/>
    <x v="20"/>
    <s v="Mon"/>
  </r>
  <r>
    <d v="2025-12-02T00:00:00"/>
    <x v="1"/>
    <n v="65"/>
    <n v="1327000"/>
    <x v="20"/>
    <s v="Tue"/>
  </r>
  <r>
    <d v="2025-12-03T00:00:00"/>
    <x v="1"/>
    <n v="36"/>
    <n v="958000"/>
    <x v="20"/>
    <s v="Wed"/>
  </r>
  <r>
    <d v="2025-12-04T00:00:00"/>
    <x v="1"/>
    <n v="45"/>
    <n v="1155000"/>
    <x v="20"/>
    <s v="Thu"/>
  </r>
  <r>
    <d v="2025-12-05T00:00:00"/>
    <x v="1"/>
    <n v="49"/>
    <n v="1341000"/>
    <x v="20"/>
    <s v="Fri"/>
  </r>
  <r>
    <d v="2025-12-06T00:00:00"/>
    <x v="1"/>
    <n v="34"/>
    <n v="1007000"/>
    <x v="20"/>
    <s v="Sat"/>
  </r>
  <r>
    <d v="2025-12-07T00:00:00"/>
    <x v="1"/>
    <n v="31"/>
    <n v="931000"/>
    <x v="20"/>
    <s v="Sun"/>
  </r>
  <r>
    <d v="2025-12-08T00:00:00"/>
    <x v="1"/>
    <n v="41"/>
    <n v="1299000"/>
    <x v="20"/>
    <s v="Mon"/>
  </r>
  <r>
    <d v="2025-12-09T00:00:00"/>
    <x v="1"/>
    <n v="35"/>
    <n v="1118000"/>
    <x v="20"/>
    <s v="Tue"/>
  </r>
  <r>
    <d v="2025-12-10T00:00:00"/>
    <x v="1"/>
    <n v="55"/>
    <n v="1668000"/>
    <x v="20"/>
    <s v="Wed"/>
  </r>
  <r>
    <d v="2025-12-11T00:00:00"/>
    <x v="1"/>
    <n v="46"/>
    <n v="1272000"/>
    <x v="20"/>
    <s v="Thu"/>
  </r>
  <r>
    <d v="2025-12-12T00:00:00"/>
    <x v="1"/>
    <n v="53"/>
    <n v="1627000"/>
    <x v="20"/>
    <s v="Fri"/>
  </r>
  <r>
    <d v="2025-12-13T00:00:00"/>
    <x v="1"/>
    <n v="44"/>
    <n v="1123000"/>
    <x v="20"/>
    <s v="Sat"/>
  </r>
  <r>
    <d v="2025-12-14T00:00:00"/>
    <x v="1"/>
    <n v="36"/>
    <n v="1009000"/>
    <x v="20"/>
    <s v="Sun"/>
  </r>
  <r>
    <d v="2025-12-15T00:00:00"/>
    <x v="1"/>
    <n v="42"/>
    <n v="1342000"/>
    <x v="20"/>
    <s v="Mon"/>
  </r>
  <r>
    <d v="2025-12-16T00:00:00"/>
    <x v="1"/>
    <n v="48"/>
    <n v="1432000"/>
    <x v="20"/>
    <s v="Tue"/>
  </r>
  <r>
    <d v="2025-12-17T00:00:00"/>
    <x v="1"/>
    <n v="52"/>
    <n v="1269000"/>
    <x v="20"/>
    <s v="Wed"/>
  </r>
  <r>
    <d v="2025-12-18T00:00:00"/>
    <x v="1"/>
    <n v="55"/>
    <n v="1450000"/>
    <x v="20"/>
    <s v="Thu"/>
  </r>
  <r>
    <d v="2025-12-19T00:00:00"/>
    <x v="1"/>
    <n v="47"/>
    <n v="1418000"/>
    <x v="20"/>
    <s v="Fri"/>
  </r>
  <r>
    <d v="2025-12-20T00:00:00"/>
    <x v="1"/>
    <n v="35"/>
    <n v="1035000"/>
    <x v="20"/>
    <s v="Sat"/>
  </r>
  <r>
    <d v="2025-12-21T00:00:00"/>
    <x v="1"/>
    <n v="35"/>
    <n v="1072000"/>
    <x v="20"/>
    <s v="Sun"/>
  </r>
  <r>
    <d v="2025-12-22T00:00:00"/>
    <x v="1"/>
    <n v="70"/>
    <n v="1640000"/>
    <x v="20"/>
    <s v="Mon"/>
  </r>
  <r>
    <d v="2025-12-23T00:00:00"/>
    <x v="1"/>
    <n v="55"/>
    <n v="1370000"/>
    <x v="20"/>
    <s v="Tue"/>
  </r>
  <r>
    <d v="2025-12-24T00:00:00"/>
    <x v="1"/>
    <n v="57"/>
    <n v="1554000"/>
    <x v="20"/>
    <s v="Wed"/>
  </r>
  <r>
    <d v="2025-12-25T00:00:00"/>
    <x v="1"/>
    <n v="52"/>
    <n v="1320000"/>
    <x v="20"/>
    <s v="Thu"/>
  </r>
  <r>
    <d v="2025-12-26T00:00:00"/>
    <x v="1"/>
    <n v="47"/>
    <n v="1307000"/>
    <x v="20"/>
    <s v="Fri"/>
  </r>
  <r>
    <d v="2025-12-27T00:00:00"/>
    <x v="1"/>
    <n v="33"/>
    <n v="935000"/>
    <x v="20"/>
    <s v="Sat"/>
  </r>
  <r>
    <d v="2025-12-28T00:00:00"/>
    <x v="1"/>
    <n v="31"/>
    <n v="903000"/>
    <x v="20"/>
    <s v="Sun"/>
  </r>
  <r>
    <d v="2025-12-29T00:00:00"/>
    <x v="1"/>
    <n v="56"/>
    <n v="1549000"/>
    <x v="20"/>
    <s v="Mon"/>
  </r>
  <r>
    <d v="2025-12-30T00:00:00"/>
    <x v="1"/>
    <n v="52"/>
    <n v="1542000"/>
    <x v="20"/>
    <s v="Tue"/>
  </r>
  <r>
    <d v="2025-12-31T00:00:00"/>
    <x v="1"/>
    <n v="53"/>
    <n v="1588000"/>
    <x v="20"/>
    <s v="W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">
  <r>
    <x v="0"/>
    <x v="0"/>
    <x v="0"/>
    <n v="7178000"/>
  </r>
  <r>
    <x v="0"/>
    <x v="0"/>
    <x v="1"/>
    <n v="6000000"/>
  </r>
  <r>
    <x v="0"/>
    <x v="0"/>
    <x v="2"/>
    <n v="4000000"/>
  </r>
  <r>
    <x v="0"/>
    <x v="0"/>
    <x v="3"/>
    <n v="742000"/>
  </r>
  <r>
    <x v="0"/>
    <x v="0"/>
    <x v="4"/>
    <n v="400000"/>
  </r>
  <r>
    <x v="0"/>
    <x v="0"/>
    <x v="5"/>
    <n v="0"/>
  </r>
  <r>
    <x v="0"/>
    <x v="0"/>
    <x v="6"/>
    <n v="354000"/>
  </r>
  <r>
    <x v="1"/>
    <x v="0"/>
    <x v="0"/>
    <n v="7251000"/>
  </r>
  <r>
    <x v="1"/>
    <x v="0"/>
    <x v="1"/>
    <n v="6000000"/>
  </r>
  <r>
    <x v="1"/>
    <x v="0"/>
    <x v="2"/>
    <n v="4000000"/>
  </r>
  <r>
    <x v="1"/>
    <x v="0"/>
    <x v="3"/>
    <n v="867000"/>
  </r>
  <r>
    <x v="1"/>
    <x v="0"/>
    <x v="4"/>
    <n v="700000"/>
  </r>
  <r>
    <x v="1"/>
    <x v="0"/>
    <x v="5"/>
    <n v="0"/>
  </r>
  <r>
    <x v="1"/>
    <x v="0"/>
    <x v="6"/>
    <n v="328000"/>
  </r>
  <r>
    <x v="2"/>
    <x v="0"/>
    <x v="0"/>
    <n v="7565000"/>
  </r>
  <r>
    <x v="2"/>
    <x v="0"/>
    <x v="1"/>
    <n v="6000000"/>
  </r>
  <r>
    <x v="2"/>
    <x v="0"/>
    <x v="2"/>
    <n v="4000000"/>
  </r>
  <r>
    <x v="2"/>
    <x v="0"/>
    <x v="3"/>
    <n v="740000"/>
  </r>
  <r>
    <x v="2"/>
    <x v="0"/>
    <x v="4"/>
    <n v="0"/>
  </r>
  <r>
    <x v="2"/>
    <x v="0"/>
    <x v="5"/>
    <n v="0"/>
  </r>
  <r>
    <x v="2"/>
    <x v="0"/>
    <x v="6"/>
    <n v="426000"/>
  </r>
  <r>
    <x v="3"/>
    <x v="0"/>
    <x v="0"/>
    <n v="6714000"/>
  </r>
  <r>
    <x v="3"/>
    <x v="0"/>
    <x v="1"/>
    <n v="6000000"/>
  </r>
  <r>
    <x v="3"/>
    <x v="0"/>
    <x v="2"/>
    <n v="4000000"/>
  </r>
  <r>
    <x v="3"/>
    <x v="0"/>
    <x v="3"/>
    <n v="709000"/>
  </r>
  <r>
    <x v="3"/>
    <x v="0"/>
    <x v="4"/>
    <n v="0"/>
  </r>
  <r>
    <x v="3"/>
    <x v="0"/>
    <x v="5"/>
    <n v="0"/>
  </r>
  <r>
    <x v="3"/>
    <x v="0"/>
    <x v="6"/>
    <n v="424000"/>
  </r>
  <r>
    <x v="4"/>
    <x v="0"/>
    <x v="0"/>
    <n v="7997000"/>
  </r>
  <r>
    <x v="4"/>
    <x v="0"/>
    <x v="1"/>
    <n v="6000000"/>
  </r>
  <r>
    <x v="4"/>
    <x v="0"/>
    <x v="2"/>
    <n v="4000000"/>
  </r>
  <r>
    <x v="4"/>
    <x v="0"/>
    <x v="3"/>
    <n v="834000"/>
  </r>
  <r>
    <x v="4"/>
    <x v="0"/>
    <x v="4"/>
    <n v="400000"/>
  </r>
  <r>
    <x v="4"/>
    <x v="0"/>
    <x v="5"/>
    <n v="300000"/>
  </r>
  <r>
    <x v="4"/>
    <x v="0"/>
    <x v="6"/>
    <n v="292000"/>
  </r>
  <r>
    <x v="5"/>
    <x v="0"/>
    <x v="0"/>
    <n v="8242000"/>
  </r>
  <r>
    <x v="5"/>
    <x v="0"/>
    <x v="1"/>
    <n v="6000000"/>
  </r>
  <r>
    <x v="5"/>
    <x v="0"/>
    <x v="2"/>
    <n v="4000000"/>
  </r>
  <r>
    <x v="5"/>
    <x v="0"/>
    <x v="3"/>
    <n v="908000"/>
  </r>
  <r>
    <x v="5"/>
    <x v="0"/>
    <x v="4"/>
    <n v="0"/>
  </r>
  <r>
    <x v="5"/>
    <x v="0"/>
    <x v="5"/>
    <n v="0"/>
  </r>
  <r>
    <x v="5"/>
    <x v="0"/>
    <x v="6"/>
    <n v="285000"/>
  </r>
  <r>
    <x v="6"/>
    <x v="0"/>
    <x v="0"/>
    <n v="9105000"/>
  </r>
  <r>
    <x v="6"/>
    <x v="0"/>
    <x v="1"/>
    <n v="6000000"/>
  </r>
  <r>
    <x v="6"/>
    <x v="0"/>
    <x v="2"/>
    <n v="4000000"/>
  </r>
  <r>
    <x v="6"/>
    <x v="0"/>
    <x v="3"/>
    <n v="1011000"/>
  </r>
  <r>
    <x v="6"/>
    <x v="0"/>
    <x v="4"/>
    <n v="400000"/>
  </r>
  <r>
    <x v="6"/>
    <x v="0"/>
    <x v="5"/>
    <n v="0"/>
  </r>
  <r>
    <x v="6"/>
    <x v="0"/>
    <x v="6"/>
    <n v="275000"/>
  </r>
  <r>
    <x v="7"/>
    <x v="0"/>
    <x v="0"/>
    <n v="6160000"/>
  </r>
  <r>
    <x v="7"/>
    <x v="0"/>
    <x v="1"/>
    <n v="6000000"/>
  </r>
  <r>
    <x v="7"/>
    <x v="0"/>
    <x v="2"/>
    <n v="4000000"/>
  </r>
  <r>
    <x v="7"/>
    <x v="0"/>
    <x v="3"/>
    <n v="750000"/>
  </r>
  <r>
    <x v="7"/>
    <x v="0"/>
    <x v="4"/>
    <n v="400000"/>
  </r>
  <r>
    <x v="7"/>
    <x v="0"/>
    <x v="5"/>
    <n v="0"/>
  </r>
  <r>
    <x v="7"/>
    <x v="0"/>
    <x v="6"/>
    <n v="245000"/>
  </r>
  <r>
    <x v="8"/>
    <x v="0"/>
    <x v="0"/>
    <n v="8380000"/>
  </r>
  <r>
    <x v="8"/>
    <x v="0"/>
    <x v="1"/>
    <n v="6000000"/>
  </r>
  <r>
    <x v="8"/>
    <x v="0"/>
    <x v="2"/>
    <n v="4000000"/>
  </r>
  <r>
    <x v="8"/>
    <x v="0"/>
    <x v="3"/>
    <n v="923000"/>
  </r>
  <r>
    <x v="8"/>
    <x v="0"/>
    <x v="4"/>
    <n v="0"/>
  </r>
  <r>
    <x v="8"/>
    <x v="0"/>
    <x v="5"/>
    <n v="0"/>
  </r>
  <r>
    <x v="8"/>
    <x v="0"/>
    <x v="6"/>
    <n v="451000"/>
  </r>
  <r>
    <x v="9"/>
    <x v="0"/>
    <x v="0"/>
    <n v="8812000"/>
  </r>
  <r>
    <x v="9"/>
    <x v="0"/>
    <x v="1"/>
    <n v="6000000"/>
  </r>
  <r>
    <x v="9"/>
    <x v="0"/>
    <x v="2"/>
    <n v="4000000"/>
  </r>
  <r>
    <x v="9"/>
    <x v="0"/>
    <x v="3"/>
    <n v="747000"/>
  </r>
  <r>
    <x v="9"/>
    <x v="0"/>
    <x v="4"/>
    <n v="0"/>
  </r>
  <r>
    <x v="9"/>
    <x v="0"/>
    <x v="5"/>
    <n v="0"/>
  </r>
  <r>
    <x v="9"/>
    <x v="0"/>
    <x v="6"/>
    <n v="337000"/>
  </r>
  <r>
    <x v="10"/>
    <x v="0"/>
    <x v="0"/>
    <n v="8936000"/>
  </r>
  <r>
    <x v="10"/>
    <x v="0"/>
    <x v="1"/>
    <n v="6000000"/>
  </r>
  <r>
    <x v="10"/>
    <x v="0"/>
    <x v="2"/>
    <n v="4000000"/>
  </r>
  <r>
    <x v="10"/>
    <x v="0"/>
    <x v="3"/>
    <n v="761000"/>
  </r>
  <r>
    <x v="10"/>
    <x v="0"/>
    <x v="4"/>
    <n v="400000"/>
  </r>
  <r>
    <x v="10"/>
    <x v="0"/>
    <x v="5"/>
    <n v="0"/>
  </r>
  <r>
    <x v="10"/>
    <x v="0"/>
    <x v="6"/>
    <n v="234000"/>
  </r>
  <r>
    <x v="11"/>
    <x v="0"/>
    <x v="0"/>
    <n v="11494000"/>
  </r>
  <r>
    <x v="11"/>
    <x v="0"/>
    <x v="1"/>
    <n v="6000000"/>
  </r>
  <r>
    <x v="11"/>
    <x v="0"/>
    <x v="2"/>
    <n v="4000000"/>
  </r>
  <r>
    <x v="11"/>
    <x v="0"/>
    <x v="3"/>
    <n v="789000"/>
  </r>
  <r>
    <x v="11"/>
    <x v="0"/>
    <x v="4"/>
    <n v="0"/>
  </r>
  <r>
    <x v="11"/>
    <x v="0"/>
    <x v="5"/>
    <n v="1800000"/>
  </r>
  <r>
    <x v="11"/>
    <x v="0"/>
    <x v="6"/>
    <n v="442000"/>
  </r>
  <r>
    <x v="12"/>
    <x v="0"/>
    <x v="0"/>
    <n v="9301000"/>
  </r>
  <r>
    <x v="12"/>
    <x v="0"/>
    <x v="1"/>
    <n v="7000000"/>
  </r>
  <r>
    <x v="12"/>
    <x v="0"/>
    <x v="2"/>
    <n v="4000000"/>
  </r>
  <r>
    <x v="12"/>
    <x v="0"/>
    <x v="3"/>
    <n v="769000"/>
  </r>
  <r>
    <x v="12"/>
    <x v="0"/>
    <x v="4"/>
    <n v="0"/>
  </r>
  <r>
    <x v="12"/>
    <x v="0"/>
    <x v="5"/>
    <n v="0"/>
  </r>
  <r>
    <x v="12"/>
    <x v="0"/>
    <x v="6"/>
    <n v="374000"/>
  </r>
  <r>
    <x v="13"/>
    <x v="0"/>
    <x v="0"/>
    <n v="8367000"/>
  </r>
  <r>
    <x v="13"/>
    <x v="0"/>
    <x v="1"/>
    <n v="7000000"/>
  </r>
  <r>
    <x v="13"/>
    <x v="0"/>
    <x v="2"/>
    <n v="4000000"/>
  </r>
  <r>
    <x v="13"/>
    <x v="0"/>
    <x v="3"/>
    <n v="820000"/>
  </r>
  <r>
    <x v="13"/>
    <x v="0"/>
    <x v="4"/>
    <n v="200000"/>
  </r>
  <r>
    <x v="13"/>
    <x v="0"/>
    <x v="5"/>
    <n v="300000"/>
  </r>
  <r>
    <x v="13"/>
    <x v="0"/>
    <x v="6"/>
    <n v="221000"/>
  </r>
  <r>
    <x v="14"/>
    <x v="0"/>
    <x v="0"/>
    <n v="8826000"/>
  </r>
  <r>
    <x v="14"/>
    <x v="0"/>
    <x v="1"/>
    <n v="7000000"/>
  </r>
  <r>
    <x v="14"/>
    <x v="0"/>
    <x v="2"/>
    <n v="4000000"/>
  </r>
  <r>
    <x v="14"/>
    <x v="0"/>
    <x v="3"/>
    <n v="791000"/>
  </r>
  <r>
    <x v="14"/>
    <x v="0"/>
    <x v="4"/>
    <n v="200000"/>
  </r>
  <r>
    <x v="14"/>
    <x v="0"/>
    <x v="5"/>
    <n v="0"/>
  </r>
  <r>
    <x v="14"/>
    <x v="0"/>
    <x v="6"/>
    <n v="302000"/>
  </r>
  <r>
    <x v="15"/>
    <x v="0"/>
    <x v="0"/>
    <n v="9094000"/>
  </r>
  <r>
    <x v="15"/>
    <x v="0"/>
    <x v="1"/>
    <n v="7000000"/>
  </r>
  <r>
    <x v="15"/>
    <x v="0"/>
    <x v="2"/>
    <n v="4000000"/>
  </r>
  <r>
    <x v="15"/>
    <x v="0"/>
    <x v="3"/>
    <n v="769000"/>
  </r>
  <r>
    <x v="15"/>
    <x v="0"/>
    <x v="4"/>
    <n v="200000"/>
  </r>
  <r>
    <x v="15"/>
    <x v="0"/>
    <x v="5"/>
    <n v="0"/>
  </r>
  <r>
    <x v="15"/>
    <x v="0"/>
    <x v="6"/>
    <n v="300000"/>
  </r>
  <r>
    <x v="16"/>
    <x v="0"/>
    <x v="0"/>
    <n v="10391000"/>
  </r>
  <r>
    <x v="16"/>
    <x v="0"/>
    <x v="1"/>
    <n v="7000000"/>
  </r>
  <r>
    <x v="16"/>
    <x v="0"/>
    <x v="2"/>
    <n v="4000000"/>
  </r>
  <r>
    <x v="16"/>
    <x v="0"/>
    <x v="3"/>
    <n v="755000"/>
  </r>
  <r>
    <x v="16"/>
    <x v="0"/>
    <x v="4"/>
    <n v="700000"/>
  </r>
  <r>
    <x v="16"/>
    <x v="0"/>
    <x v="5"/>
    <n v="0"/>
  </r>
  <r>
    <x v="16"/>
    <x v="0"/>
    <x v="6"/>
    <n v="357000"/>
  </r>
  <r>
    <x v="17"/>
    <x v="0"/>
    <x v="0"/>
    <n v="9013000"/>
  </r>
  <r>
    <x v="17"/>
    <x v="0"/>
    <x v="1"/>
    <n v="7000000"/>
  </r>
  <r>
    <x v="17"/>
    <x v="0"/>
    <x v="2"/>
    <n v="4000000"/>
  </r>
  <r>
    <x v="17"/>
    <x v="0"/>
    <x v="3"/>
    <n v="914000"/>
  </r>
  <r>
    <x v="17"/>
    <x v="0"/>
    <x v="4"/>
    <n v="400000"/>
  </r>
  <r>
    <x v="17"/>
    <x v="0"/>
    <x v="5"/>
    <n v="0"/>
  </r>
  <r>
    <x v="17"/>
    <x v="0"/>
    <x v="6"/>
    <n v="252000"/>
  </r>
  <r>
    <x v="18"/>
    <x v="0"/>
    <x v="0"/>
    <n v="10054000"/>
  </r>
  <r>
    <x v="18"/>
    <x v="0"/>
    <x v="1"/>
    <n v="7000000"/>
  </r>
  <r>
    <x v="18"/>
    <x v="0"/>
    <x v="2"/>
    <n v="4000000"/>
  </r>
  <r>
    <x v="18"/>
    <x v="0"/>
    <x v="3"/>
    <n v="903000"/>
  </r>
  <r>
    <x v="18"/>
    <x v="0"/>
    <x v="4"/>
    <n v="400000"/>
  </r>
  <r>
    <x v="18"/>
    <x v="0"/>
    <x v="5"/>
    <n v="0"/>
  </r>
  <r>
    <x v="18"/>
    <x v="0"/>
    <x v="6"/>
    <n v="284000"/>
  </r>
  <r>
    <x v="19"/>
    <x v="0"/>
    <x v="0"/>
    <n v="9480000"/>
  </r>
  <r>
    <x v="19"/>
    <x v="0"/>
    <x v="1"/>
    <n v="7000000"/>
  </r>
  <r>
    <x v="19"/>
    <x v="0"/>
    <x v="2"/>
    <n v="4000000"/>
  </r>
  <r>
    <x v="19"/>
    <x v="0"/>
    <x v="3"/>
    <n v="1078000"/>
  </r>
  <r>
    <x v="19"/>
    <x v="0"/>
    <x v="4"/>
    <n v="0"/>
  </r>
  <r>
    <x v="19"/>
    <x v="0"/>
    <x v="5"/>
    <n v="0"/>
  </r>
  <r>
    <x v="19"/>
    <x v="0"/>
    <x v="6"/>
    <n v="229000"/>
  </r>
  <r>
    <x v="20"/>
    <x v="0"/>
    <x v="0"/>
    <n v="9798000"/>
  </r>
  <r>
    <x v="20"/>
    <x v="0"/>
    <x v="1"/>
    <n v="7000000"/>
  </r>
  <r>
    <x v="20"/>
    <x v="0"/>
    <x v="2"/>
    <n v="4000000"/>
  </r>
  <r>
    <x v="20"/>
    <x v="0"/>
    <x v="3"/>
    <n v="847000"/>
  </r>
  <r>
    <x v="20"/>
    <x v="0"/>
    <x v="4"/>
    <n v="400000"/>
  </r>
  <r>
    <x v="20"/>
    <x v="0"/>
    <x v="5"/>
    <n v="0"/>
  </r>
  <r>
    <x v="20"/>
    <x v="0"/>
    <x v="6"/>
    <n v="275000"/>
  </r>
  <r>
    <x v="21"/>
    <x v="0"/>
    <x v="0"/>
    <n v="9953000"/>
  </r>
  <r>
    <x v="21"/>
    <x v="0"/>
    <x v="1"/>
    <n v="7000000"/>
  </r>
  <r>
    <x v="21"/>
    <x v="0"/>
    <x v="2"/>
    <n v="4000000"/>
  </r>
  <r>
    <x v="21"/>
    <x v="0"/>
    <x v="3"/>
    <n v="865000"/>
  </r>
  <r>
    <x v="21"/>
    <x v="0"/>
    <x v="4"/>
    <n v="0"/>
  </r>
  <r>
    <x v="21"/>
    <x v="0"/>
    <x v="5"/>
    <n v="0"/>
  </r>
  <r>
    <x v="21"/>
    <x v="0"/>
    <x v="6"/>
    <n v="204000"/>
  </r>
  <r>
    <x v="22"/>
    <x v="0"/>
    <x v="0"/>
    <n v="9842000"/>
  </r>
  <r>
    <x v="22"/>
    <x v="0"/>
    <x v="1"/>
    <n v="7000000"/>
  </r>
  <r>
    <x v="22"/>
    <x v="0"/>
    <x v="2"/>
    <n v="4000000"/>
  </r>
  <r>
    <x v="22"/>
    <x v="0"/>
    <x v="3"/>
    <n v="793000"/>
  </r>
  <r>
    <x v="22"/>
    <x v="0"/>
    <x v="4"/>
    <n v="400000"/>
  </r>
  <r>
    <x v="22"/>
    <x v="0"/>
    <x v="5"/>
    <n v="0"/>
  </r>
  <r>
    <x v="22"/>
    <x v="0"/>
    <x v="6"/>
    <n v="333000"/>
  </r>
  <r>
    <x v="23"/>
    <x v="0"/>
    <x v="0"/>
    <n v="13007000"/>
  </r>
  <r>
    <x v="23"/>
    <x v="0"/>
    <x v="1"/>
    <n v="7000000"/>
  </r>
  <r>
    <x v="23"/>
    <x v="0"/>
    <x v="2"/>
    <n v="4000000"/>
  </r>
  <r>
    <x v="23"/>
    <x v="0"/>
    <x v="3"/>
    <n v="873000"/>
  </r>
  <r>
    <x v="23"/>
    <x v="0"/>
    <x v="4"/>
    <n v="700000"/>
  </r>
  <r>
    <x v="23"/>
    <x v="0"/>
    <x v="5"/>
    <n v="0"/>
  </r>
  <r>
    <x v="23"/>
    <x v="0"/>
    <x v="6"/>
    <n v="307000"/>
  </r>
  <r>
    <x v="3"/>
    <x v="1"/>
    <x v="0"/>
    <n v="2681000"/>
  </r>
  <r>
    <x v="3"/>
    <x v="1"/>
    <x v="1"/>
    <n v="4500000"/>
  </r>
  <r>
    <x v="3"/>
    <x v="1"/>
    <x v="2"/>
    <n v="3000000"/>
  </r>
  <r>
    <x v="3"/>
    <x v="1"/>
    <x v="3"/>
    <n v="610000"/>
  </r>
  <r>
    <x v="3"/>
    <x v="1"/>
    <x v="4"/>
    <n v="1200000"/>
  </r>
  <r>
    <x v="3"/>
    <x v="1"/>
    <x v="5"/>
    <n v="0"/>
  </r>
  <r>
    <x v="3"/>
    <x v="1"/>
    <x v="6"/>
    <n v="351000"/>
  </r>
  <r>
    <x v="4"/>
    <x v="1"/>
    <x v="0"/>
    <n v="3302000"/>
  </r>
  <r>
    <x v="4"/>
    <x v="1"/>
    <x v="1"/>
    <n v="4500000"/>
  </r>
  <r>
    <x v="4"/>
    <x v="1"/>
    <x v="2"/>
    <n v="3000000"/>
  </r>
  <r>
    <x v="4"/>
    <x v="1"/>
    <x v="3"/>
    <n v="479000"/>
  </r>
  <r>
    <x v="4"/>
    <x v="1"/>
    <x v="4"/>
    <n v="800000"/>
  </r>
  <r>
    <x v="4"/>
    <x v="1"/>
    <x v="5"/>
    <n v="0"/>
  </r>
  <r>
    <x v="4"/>
    <x v="1"/>
    <x v="6"/>
    <n v="286000"/>
  </r>
  <r>
    <x v="5"/>
    <x v="1"/>
    <x v="0"/>
    <n v="4140000"/>
  </r>
  <r>
    <x v="5"/>
    <x v="1"/>
    <x v="1"/>
    <n v="4500000"/>
  </r>
  <r>
    <x v="5"/>
    <x v="1"/>
    <x v="2"/>
    <n v="3000000"/>
  </r>
  <r>
    <x v="5"/>
    <x v="1"/>
    <x v="3"/>
    <n v="601000"/>
  </r>
  <r>
    <x v="5"/>
    <x v="1"/>
    <x v="4"/>
    <n v="800000"/>
  </r>
  <r>
    <x v="5"/>
    <x v="1"/>
    <x v="5"/>
    <n v="0"/>
  </r>
  <r>
    <x v="5"/>
    <x v="1"/>
    <x v="6"/>
    <n v="394000"/>
  </r>
  <r>
    <x v="6"/>
    <x v="1"/>
    <x v="0"/>
    <n v="2855000"/>
  </r>
  <r>
    <x v="6"/>
    <x v="1"/>
    <x v="1"/>
    <n v="4500000"/>
  </r>
  <r>
    <x v="6"/>
    <x v="1"/>
    <x v="2"/>
    <n v="3000000"/>
  </r>
  <r>
    <x v="6"/>
    <x v="1"/>
    <x v="3"/>
    <n v="621000"/>
  </r>
  <r>
    <x v="6"/>
    <x v="1"/>
    <x v="4"/>
    <n v="0"/>
  </r>
  <r>
    <x v="6"/>
    <x v="1"/>
    <x v="5"/>
    <n v="0"/>
  </r>
  <r>
    <x v="6"/>
    <x v="1"/>
    <x v="6"/>
    <n v="257000"/>
  </r>
  <r>
    <x v="7"/>
    <x v="1"/>
    <x v="0"/>
    <n v="4985000"/>
  </r>
  <r>
    <x v="7"/>
    <x v="1"/>
    <x v="1"/>
    <n v="4500000"/>
  </r>
  <r>
    <x v="7"/>
    <x v="1"/>
    <x v="2"/>
    <n v="0"/>
  </r>
  <r>
    <x v="7"/>
    <x v="1"/>
    <x v="3"/>
    <n v="681000"/>
  </r>
  <r>
    <x v="7"/>
    <x v="1"/>
    <x v="4"/>
    <n v="200000"/>
  </r>
  <r>
    <x v="7"/>
    <x v="1"/>
    <x v="5"/>
    <n v="0"/>
  </r>
  <r>
    <x v="7"/>
    <x v="1"/>
    <x v="2"/>
    <n v="3000000"/>
  </r>
  <r>
    <x v="7"/>
    <x v="1"/>
    <x v="6"/>
    <n v="331000"/>
  </r>
  <r>
    <x v="8"/>
    <x v="1"/>
    <x v="0"/>
    <n v="5797000"/>
  </r>
  <r>
    <x v="8"/>
    <x v="1"/>
    <x v="1"/>
    <n v="4500000"/>
  </r>
  <r>
    <x v="8"/>
    <x v="1"/>
    <x v="2"/>
    <n v="0"/>
  </r>
  <r>
    <x v="8"/>
    <x v="1"/>
    <x v="3"/>
    <n v="472000"/>
  </r>
  <r>
    <x v="8"/>
    <x v="1"/>
    <x v="4"/>
    <n v="400000"/>
  </r>
  <r>
    <x v="8"/>
    <x v="1"/>
    <x v="5"/>
    <n v="250000"/>
  </r>
  <r>
    <x v="8"/>
    <x v="1"/>
    <x v="2"/>
    <n v="3000000"/>
  </r>
  <r>
    <x v="8"/>
    <x v="1"/>
    <x v="6"/>
    <n v="395000"/>
  </r>
  <r>
    <x v="9"/>
    <x v="1"/>
    <x v="2"/>
    <n v="3000000"/>
  </r>
  <r>
    <x v="9"/>
    <x v="1"/>
    <x v="0"/>
    <n v="6049000"/>
  </r>
  <r>
    <x v="9"/>
    <x v="1"/>
    <x v="1"/>
    <n v="4500000"/>
  </r>
  <r>
    <x v="9"/>
    <x v="1"/>
    <x v="3"/>
    <n v="473000"/>
  </r>
  <r>
    <x v="9"/>
    <x v="1"/>
    <x v="4"/>
    <n v="0"/>
  </r>
  <r>
    <x v="9"/>
    <x v="1"/>
    <x v="5"/>
    <n v="0"/>
  </r>
  <r>
    <x v="9"/>
    <x v="1"/>
    <x v="6"/>
    <n v="386000"/>
  </r>
  <r>
    <x v="10"/>
    <x v="1"/>
    <x v="0"/>
    <n v="6597000"/>
  </r>
  <r>
    <x v="10"/>
    <x v="1"/>
    <x v="1"/>
    <n v="4500000"/>
  </r>
  <r>
    <x v="10"/>
    <x v="1"/>
    <x v="2"/>
    <n v="3000000"/>
  </r>
  <r>
    <x v="10"/>
    <x v="1"/>
    <x v="3"/>
    <n v="594000"/>
  </r>
  <r>
    <x v="10"/>
    <x v="1"/>
    <x v="4"/>
    <n v="0"/>
  </r>
  <r>
    <x v="10"/>
    <x v="1"/>
    <x v="5"/>
    <n v="250000"/>
  </r>
  <r>
    <x v="10"/>
    <x v="1"/>
    <x v="6"/>
    <n v="367000"/>
  </r>
  <r>
    <x v="11"/>
    <x v="1"/>
    <x v="0"/>
    <n v="7167000"/>
  </r>
  <r>
    <x v="11"/>
    <x v="1"/>
    <x v="1"/>
    <n v="4500000"/>
  </r>
  <r>
    <x v="11"/>
    <x v="1"/>
    <x v="2"/>
    <n v="3000000"/>
  </r>
  <r>
    <x v="11"/>
    <x v="1"/>
    <x v="3"/>
    <n v="493000"/>
  </r>
  <r>
    <x v="11"/>
    <x v="1"/>
    <x v="4"/>
    <n v="400000"/>
  </r>
  <r>
    <x v="11"/>
    <x v="1"/>
    <x v="5"/>
    <n v="0"/>
  </r>
  <r>
    <x v="11"/>
    <x v="1"/>
    <x v="6"/>
    <n v="174000"/>
  </r>
  <r>
    <x v="12"/>
    <x v="1"/>
    <x v="0"/>
    <n v="4410000"/>
  </r>
  <r>
    <x v="12"/>
    <x v="1"/>
    <x v="1"/>
    <n v="5200000"/>
  </r>
  <r>
    <x v="12"/>
    <x v="1"/>
    <x v="2"/>
    <n v="3000000"/>
  </r>
  <r>
    <x v="12"/>
    <x v="1"/>
    <x v="3"/>
    <n v="533000"/>
  </r>
  <r>
    <x v="12"/>
    <x v="1"/>
    <x v="4"/>
    <n v="0"/>
  </r>
  <r>
    <x v="12"/>
    <x v="1"/>
    <x v="5"/>
    <n v="0"/>
  </r>
  <r>
    <x v="12"/>
    <x v="1"/>
    <x v="6"/>
    <n v="199000"/>
  </r>
  <r>
    <x v="13"/>
    <x v="1"/>
    <x v="0"/>
    <n v="6118000"/>
  </r>
  <r>
    <x v="13"/>
    <x v="1"/>
    <x v="1"/>
    <n v="5200000"/>
  </r>
  <r>
    <x v="13"/>
    <x v="1"/>
    <x v="2"/>
    <n v="3000000"/>
  </r>
  <r>
    <x v="13"/>
    <x v="1"/>
    <x v="3"/>
    <n v="639000"/>
  </r>
  <r>
    <x v="13"/>
    <x v="1"/>
    <x v="4"/>
    <n v="0"/>
  </r>
  <r>
    <x v="13"/>
    <x v="1"/>
    <x v="5"/>
    <n v="250000"/>
  </r>
  <r>
    <x v="13"/>
    <x v="1"/>
    <x v="6"/>
    <n v="179000"/>
  </r>
  <r>
    <x v="14"/>
    <x v="1"/>
    <x v="0"/>
    <n v="7214000"/>
  </r>
  <r>
    <x v="14"/>
    <x v="1"/>
    <x v="1"/>
    <n v="5200000"/>
  </r>
  <r>
    <x v="14"/>
    <x v="1"/>
    <x v="2"/>
    <n v="3000000"/>
  </r>
  <r>
    <x v="14"/>
    <x v="1"/>
    <x v="3"/>
    <n v="508000"/>
  </r>
  <r>
    <x v="14"/>
    <x v="1"/>
    <x v="4"/>
    <n v="0"/>
  </r>
  <r>
    <x v="14"/>
    <x v="1"/>
    <x v="5"/>
    <n v="0"/>
  </r>
  <r>
    <x v="14"/>
    <x v="1"/>
    <x v="6"/>
    <n v="361000"/>
  </r>
  <r>
    <x v="15"/>
    <x v="1"/>
    <x v="0"/>
    <n v="6865000"/>
  </r>
  <r>
    <x v="15"/>
    <x v="1"/>
    <x v="1"/>
    <n v="5200000"/>
  </r>
  <r>
    <x v="15"/>
    <x v="1"/>
    <x v="2"/>
    <n v="3000000"/>
  </r>
  <r>
    <x v="15"/>
    <x v="1"/>
    <x v="3"/>
    <n v="609000"/>
  </r>
  <r>
    <x v="15"/>
    <x v="1"/>
    <x v="4"/>
    <n v="0"/>
  </r>
  <r>
    <x v="15"/>
    <x v="1"/>
    <x v="5"/>
    <n v="0"/>
  </r>
  <r>
    <x v="15"/>
    <x v="1"/>
    <x v="6"/>
    <n v="270000"/>
  </r>
  <r>
    <x v="16"/>
    <x v="1"/>
    <x v="0"/>
    <n v="7157000"/>
  </r>
  <r>
    <x v="16"/>
    <x v="1"/>
    <x v="1"/>
    <n v="5200000"/>
  </r>
  <r>
    <x v="16"/>
    <x v="1"/>
    <x v="2"/>
    <n v="3000000"/>
  </r>
  <r>
    <x v="16"/>
    <x v="1"/>
    <x v="3"/>
    <n v="574000"/>
  </r>
  <r>
    <x v="16"/>
    <x v="1"/>
    <x v="4"/>
    <n v="200000"/>
  </r>
  <r>
    <x v="16"/>
    <x v="1"/>
    <x v="5"/>
    <n v="1200000"/>
  </r>
  <r>
    <x v="16"/>
    <x v="1"/>
    <x v="6"/>
    <n v="253000"/>
  </r>
  <r>
    <x v="17"/>
    <x v="1"/>
    <x v="0"/>
    <n v="6703000"/>
  </r>
  <r>
    <x v="17"/>
    <x v="1"/>
    <x v="1"/>
    <n v="5200000"/>
  </r>
  <r>
    <x v="17"/>
    <x v="1"/>
    <x v="2"/>
    <n v="3000000"/>
  </r>
  <r>
    <x v="17"/>
    <x v="1"/>
    <x v="3"/>
    <n v="763000"/>
  </r>
  <r>
    <x v="17"/>
    <x v="1"/>
    <x v="4"/>
    <n v="200000"/>
  </r>
  <r>
    <x v="17"/>
    <x v="1"/>
    <x v="5"/>
    <n v="0"/>
  </r>
  <r>
    <x v="17"/>
    <x v="1"/>
    <x v="6"/>
    <n v="241000"/>
  </r>
  <r>
    <x v="18"/>
    <x v="1"/>
    <x v="0"/>
    <n v="3753000"/>
  </r>
  <r>
    <x v="18"/>
    <x v="1"/>
    <x v="1"/>
    <n v="5200000"/>
  </r>
  <r>
    <x v="18"/>
    <x v="1"/>
    <x v="2"/>
    <n v="3000000"/>
  </r>
  <r>
    <x v="18"/>
    <x v="1"/>
    <x v="3"/>
    <n v="632000"/>
  </r>
  <r>
    <x v="18"/>
    <x v="1"/>
    <x v="4"/>
    <n v="400000"/>
  </r>
  <r>
    <x v="18"/>
    <x v="1"/>
    <x v="5"/>
    <n v="0"/>
  </r>
  <r>
    <x v="18"/>
    <x v="1"/>
    <x v="6"/>
    <n v="205000"/>
  </r>
  <r>
    <x v="19"/>
    <x v="1"/>
    <x v="0"/>
    <n v="7321000"/>
  </r>
  <r>
    <x v="19"/>
    <x v="1"/>
    <x v="1"/>
    <n v="5200000"/>
  </r>
  <r>
    <x v="19"/>
    <x v="1"/>
    <x v="2"/>
    <n v="3000000"/>
  </r>
  <r>
    <x v="19"/>
    <x v="1"/>
    <x v="3"/>
    <n v="625000"/>
  </r>
  <r>
    <x v="19"/>
    <x v="1"/>
    <x v="4"/>
    <n v="0"/>
  </r>
  <r>
    <x v="19"/>
    <x v="1"/>
    <x v="5"/>
    <n v="0"/>
  </r>
  <r>
    <x v="19"/>
    <x v="1"/>
    <x v="6"/>
    <n v="257000"/>
  </r>
  <r>
    <x v="20"/>
    <x v="1"/>
    <x v="0"/>
    <n v="8486000"/>
  </r>
  <r>
    <x v="20"/>
    <x v="1"/>
    <x v="1"/>
    <n v="5200000"/>
  </r>
  <r>
    <x v="20"/>
    <x v="1"/>
    <x v="2"/>
    <n v="3000000"/>
  </r>
  <r>
    <x v="20"/>
    <x v="1"/>
    <x v="3"/>
    <n v="504000"/>
  </r>
  <r>
    <x v="20"/>
    <x v="1"/>
    <x v="4"/>
    <n v="0"/>
  </r>
  <r>
    <x v="20"/>
    <x v="1"/>
    <x v="5"/>
    <n v="0"/>
  </r>
  <r>
    <x v="20"/>
    <x v="1"/>
    <x v="6"/>
    <n v="242000"/>
  </r>
  <r>
    <x v="21"/>
    <x v="1"/>
    <x v="0"/>
    <n v="7375000"/>
  </r>
  <r>
    <x v="21"/>
    <x v="1"/>
    <x v="1"/>
    <n v="5200000"/>
  </r>
  <r>
    <x v="21"/>
    <x v="1"/>
    <x v="2"/>
    <n v="3000000"/>
  </r>
  <r>
    <x v="21"/>
    <x v="1"/>
    <x v="3"/>
    <n v="447000"/>
  </r>
  <r>
    <x v="21"/>
    <x v="1"/>
    <x v="4"/>
    <n v="0"/>
  </r>
  <r>
    <x v="21"/>
    <x v="1"/>
    <x v="5"/>
    <n v="0"/>
  </r>
  <r>
    <x v="21"/>
    <x v="1"/>
    <x v="6"/>
    <n v="240000"/>
  </r>
  <r>
    <x v="22"/>
    <x v="1"/>
    <x v="0"/>
    <n v="6692000"/>
  </r>
  <r>
    <x v="22"/>
    <x v="1"/>
    <x v="1"/>
    <n v="5200000"/>
  </r>
  <r>
    <x v="22"/>
    <x v="1"/>
    <x v="2"/>
    <n v="3000000"/>
  </r>
  <r>
    <x v="22"/>
    <x v="1"/>
    <x v="3"/>
    <n v="570000"/>
  </r>
  <r>
    <x v="22"/>
    <x v="1"/>
    <x v="4"/>
    <n v="0"/>
  </r>
  <r>
    <x v="22"/>
    <x v="1"/>
    <x v="5"/>
    <n v="0"/>
  </r>
  <r>
    <x v="22"/>
    <x v="1"/>
    <x v="6"/>
    <n v="352000"/>
  </r>
  <r>
    <x v="23"/>
    <x v="1"/>
    <x v="0"/>
    <n v="7752000"/>
  </r>
  <r>
    <x v="23"/>
    <x v="1"/>
    <x v="1"/>
    <n v="5200000"/>
  </r>
  <r>
    <x v="23"/>
    <x v="1"/>
    <x v="2"/>
    <n v="3000000"/>
  </r>
  <r>
    <x v="23"/>
    <x v="1"/>
    <x v="3"/>
    <n v="579000"/>
  </r>
  <r>
    <x v="23"/>
    <x v="1"/>
    <x v="4"/>
    <n v="400000"/>
  </r>
  <r>
    <x v="23"/>
    <x v="1"/>
    <x v="5"/>
    <n v="0"/>
  </r>
  <r>
    <x v="23"/>
    <x v="1"/>
    <x v="6"/>
    <n v="39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2F478-9B05-4196-9814-74FC53E7D10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3:L29" firstHeaderRow="1" firstDataRow="2" firstDataCol="1"/>
  <pivotFields count="6">
    <pivotField numFmtId="14" showAll="0"/>
    <pivotField axis="axisCol" showAll="0">
      <items count="3">
        <item x="0"/>
        <item x="1"/>
        <item t="default"/>
      </items>
    </pivotField>
    <pivotField showAll="0"/>
    <pivotField dataField="1" showAll="0"/>
    <pivotField axis="axisRow" showAll="0">
      <items count="25">
        <item x="21"/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Omzet" fld="3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96F76-0E63-4CED-AF1C-C40B777D66F2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6" firstHeaderRow="1" firstDataRow="1" firstDataCol="1" rowPageCount="1" colPageCount="1"/>
  <pivotFields count="4"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3">
        <item x="1"/>
        <item x="0"/>
        <item t="default"/>
      </items>
    </pivotField>
    <pivotField axis="axisPage" showAll="0">
      <items count="8">
        <item x="0"/>
        <item x="1"/>
        <item x="6"/>
        <item x="5"/>
        <item x="4"/>
        <item x="2"/>
        <item x="3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2" item="0" hier="-1"/>
  </pageFields>
  <dataFields count="1">
    <dataField name="Sum of Jumlah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968A2-D054-4C5B-A5C2-59A1E4FE1F1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29" firstHeaderRow="1" firstDataRow="2" firstDataCol="1" rowPageCount="1" colPageCount="1"/>
  <pivotFields count="4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8">
        <item x="0"/>
        <item x="1"/>
        <item x="6"/>
        <item x="5"/>
        <item x="4"/>
        <item x="2"/>
        <item x="3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item="5" hier="-1"/>
  </pageFields>
  <dataFields count="1">
    <dataField name="Sum of Jumlah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1E4F57-3045-4946-8C0B-CFD72B3B2CB0}" name="Table7" displayName="Table7" ref="A1:C19" totalsRowShown="0" headerRowDxfId="21" dataDxfId="20">
  <autoFilter ref="A1:C19" xr:uid="{631E4F57-3045-4946-8C0B-CFD72B3B2CB0}"/>
  <tableColumns count="3">
    <tableColumn id="1" xr3:uid="{3E94AB54-D77D-4790-84BA-AE2104911CB5}" name="Parameter" dataDxfId="19"/>
    <tableColumn id="2" xr3:uid="{8CDEED8F-412F-4329-8BA0-44D364637B91}" name="Value" dataDxfId="18"/>
    <tableColumn id="3" xr3:uid="{9454AC44-C421-4622-82ED-7C3C7A12245F}" name="Description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C4964F-D40D-4022-A651-641BE55A5FBC}" name="Table3" displayName="Table3" ref="A1:H5" totalsRowShown="0" headerRowDxfId="16" dataDxfId="15">
  <autoFilter ref="A1:H5" xr:uid="{86C4964F-D40D-4022-A651-641BE55A5FBC}"/>
  <tableColumns count="8">
    <tableColumn id="1" xr3:uid="{D7B282E8-A117-4FF4-9A8B-504703333E5F}" name="outlet_id" dataDxfId="14"/>
    <tableColumn id="2" xr3:uid="{92203FC7-0B79-4667-92A9-45993B557BA9}" name="name" dataDxfId="13"/>
    <tableColumn id="3" xr3:uid="{78B8E16E-9DAF-4B08-9B41-E869F112C36F}" name="location" dataDxfId="12"/>
    <tableColumn id="4" xr3:uid="{CBAC3DA5-E5EB-45E5-92FC-6FB664937D8D}" name="type" dataDxfId="11"/>
    <tableColumn id="5" xr3:uid="{AE6D3F24-66C6-4E74-9BCF-67A3E696FC2A}" name="start_operation_date" dataDxfId="10"/>
    <tableColumn id="6" xr3:uid="{E37A80A9-3CA3-4D76-A129-09D0DE631633}" name="area_m2" dataDxfId="9"/>
    <tableColumn id="7" xr3:uid="{BA2035B8-A756-4C95-8EAC-4061C3BEAC25}" name="seating_capacity" dataDxfId="8"/>
    <tableColumn id="8" xr3:uid="{E320D492-8860-43C9-9213-CDCF6B41D79E}" name="notes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56758-DA03-44C8-96AD-4FCEB77BACE4}" name="Table1" displayName="Table1" ref="A1:F1372" totalsRowShown="0">
  <autoFilter ref="A1:F1372" xr:uid="{26D56758-DA03-44C8-96AD-4FCEB77BACE4}"/>
  <tableColumns count="6">
    <tableColumn id="1" xr3:uid="{1AC88D01-26C4-4126-85F1-7658321FDE43}" name="Date" dataDxfId="6"/>
    <tableColumn id="2" xr3:uid="{037F8017-EFCB-44EA-937B-3BF05F22CE3F}" name="Outlet"/>
    <tableColumn id="3" xr3:uid="{78C7987A-5940-49DF-865E-B15D7614703C}" name="Transaction_Count"/>
    <tableColumn id="4" xr3:uid="{2869A935-3EA1-442B-96CB-726479AF47D7}" name="Revenue"/>
    <tableColumn id="5" xr3:uid="{3439C501-9772-424D-96EB-9E43707EF1F7}" name="Month">
      <calculatedColumnFormula>TEXT(A2,"yyyy-mm")</calculatedColumnFormula>
    </tableColumn>
    <tableColumn id="6" xr3:uid="{5C6923BE-A0D5-43B5-9F26-91B837DF993B}" name="Day">
      <calculatedColumnFormula>TEXT(A2,"ddd")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624840-5A76-4DAA-A5D1-43B2B6237C4D}" name="Table13" displayName="Table13" ref="A1:D318" totalsRowShown="0">
  <autoFilter ref="A1:D318" xr:uid="{BF624840-5A76-4DAA-A5D1-43B2B6237C4D}"/>
  <tableColumns count="4">
    <tableColumn id="1" xr3:uid="{819A7855-A029-4F08-9981-6935ADDA62C0}" name="Month"/>
    <tableColumn id="2" xr3:uid="{EE772E76-BC18-4A3B-980E-0E57E96BE570}" name="Outlet"/>
    <tableColumn id="3" xr3:uid="{94DB65F6-B484-4533-8454-8EF7811764C0}" name="Cost_Category"/>
    <tableColumn id="4" xr3:uid="{E24CA8AD-3D56-4401-B660-6ED054A8C089}" name="Am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58722E-F266-40B5-98BF-A58588E46163}" name="Table5" displayName="Table5" ref="M1:P13" totalsRowShown="0" headerRowDxfId="5" dataDxfId="4" headerRowCellStyle="Comma" dataCellStyle="Percent">
  <autoFilter ref="M1:P13" xr:uid="{1758722E-F266-40B5-98BF-A58588E46163}"/>
  <tableColumns count="4">
    <tableColumn id="1" xr3:uid="{322212D6-DDA3-4DDA-813A-4D35874D17CC}" name="Growth Main Revenue (B14-B25)" dataDxfId="3" dataCellStyle="Percent"/>
    <tableColumn id="3" xr3:uid="{2C0480F7-3FC5-49EA-9171-6A6BEC23B6E8}" name="Growth Second Revenue (C17-C25)" dataDxfId="2" dataCellStyle="Percent"/>
    <tableColumn id="5" xr3:uid="{B4864313-DF7D-4B71-9E64-D791F50FF5BC}" name="Growth Main Cost (E14-E25)" dataDxfId="1" dataCellStyle="Percent"/>
    <tableColumn id="7" xr3:uid="{BB37E4E3-C162-4494-B79A-3C151EEC5D26}" name="Growth Second Cost (F17-F25)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0B967D-D9A2-4A80-A719-878CB5C5831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b02b650-52f5-4ed6-a471-aaeb6e77106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7AEC-BC4C-482C-B6FB-95A19A436810}">
  <dimension ref="A1:C19"/>
  <sheetViews>
    <sheetView tabSelected="1" zoomScale="80" zoomScaleNormal="80" workbookViewId="0">
      <selection activeCell="C7" sqref="C7"/>
    </sheetView>
  </sheetViews>
  <sheetFormatPr defaultRowHeight="14.4" x14ac:dyDescent="0.3"/>
  <cols>
    <col min="1" max="1" width="38.5546875" customWidth="1"/>
    <col min="2" max="2" width="47.5546875" customWidth="1"/>
    <col min="3" max="3" width="57.5546875" customWidth="1"/>
  </cols>
  <sheetData>
    <row r="1" spans="1:3" ht="20.399999999999999" customHeight="1" x14ac:dyDescent="0.3">
      <c r="A1" s="5" t="s">
        <v>63</v>
      </c>
      <c r="B1" s="5" t="s">
        <v>81</v>
      </c>
      <c r="C1" s="8" t="s">
        <v>82</v>
      </c>
    </row>
    <row r="2" spans="1:3" ht="40.200000000000003" customHeight="1" x14ac:dyDescent="0.3">
      <c r="A2" s="5" t="s">
        <v>83</v>
      </c>
      <c r="B2" s="5" t="s">
        <v>0</v>
      </c>
      <c r="C2" s="5" t="s">
        <v>105</v>
      </c>
    </row>
    <row r="3" spans="1:3" ht="40.200000000000003" customHeight="1" x14ac:dyDescent="0.3">
      <c r="A3" s="5" t="s">
        <v>84</v>
      </c>
      <c r="B3" s="5" t="s">
        <v>1</v>
      </c>
      <c r="C3" s="5" t="s">
        <v>106</v>
      </c>
    </row>
    <row r="4" spans="1:3" ht="40.200000000000003" customHeight="1" x14ac:dyDescent="0.3">
      <c r="A4" s="5" t="s">
        <v>85</v>
      </c>
      <c r="B4" s="5" t="s">
        <v>2</v>
      </c>
      <c r="C4" s="5" t="s">
        <v>107</v>
      </c>
    </row>
    <row r="5" spans="1:3" ht="40.200000000000003" customHeight="1" x14ac:dyDescent="0.3">
      <c r="A5" s="5" t="s">
        <v>86</v>
      </c>
      <c r="B5" s="29" t="s">
        <v>3</v>
      </c>
      <c r="C5" s="5" t="s">
        <v>108</v>
      </c>
    </row>
    <row r="6" spans="1:3" ht="67.8" customHeight="1" x14ac:dyDescent="0.3">
      <c r="A6" s="5" t="s">
        <v>87</v>
      </c>
      <c r="B6" s="5" t="s">
        <v>101</v>
      </c>
      <c r="C6" s="5" t="s">
        <v>109</v>
      </c>
    </row>
    <row r="7" spans="1:3" ht="40.200000000000003" customHeight="1" x14ac:dyDescent="0.3">
      <c r="A7" s="5" t="s">
        <v>88</v>
      </c>
      <c r="B7" s="5" t="s">
        <v>4</v>
      </c>
      <c r="C7" s="5" t="s">
        <v>110</v>
      </c>
    </row>
    <row r="8" spans="1:3" ht="40.200000000000003" customHeight="1" x14ac:dyDescent="0.3">
      <c r="A8" s="5" t="s">
        <v>89</v>
      </c>
      <c r="B8" s="5" t="s">
        <v>5</v>
      </c>
      <c r="C8" s="5"/>
    </row>
    <row r="9" spans="1:3" ht="40.200000000000003" customHeight="1" x14ac:dyDescent="0.3">
      <c r="A9" s="5" t="s">
        <v>90</v>
      </c>
      <c r="B9" s="5" t="s">
        <v>6</v>
      </c>
      <c r="C9" s="5" t="s">
        <v>111</v>
      </c>
    </row>
    <row r="10" spans="1:3" ht="40.200000000000003" customHeight="1" x14ac:dyDescent="0.3">
      <c r="A10" s="5" t="s">
        <v>91</v>
      </c>
      <c r="B10" s="5" t="s">
        <v>7</v>
      </c>
      <c r="C10" s="5" t="s">
        <v>112</v>
      </c>
    </row>
    <row r="11" spans="1:3" ht="40.200000000000003" customHeight="1" x14ac:dyDescent="0.3">
      <c r="A11" s="5" t="s">
        <v>92</v>
      </c>
      <c r="B11" s="5" t="s">
        <v>8</v>
      </c>
      <c r="C11" s="5" t="s">
        <v>110</v>
      </c>
    </row>
    <row r="12" spans="1:3" ht="40.200000000000003" customHeight="1" x14ac:dyDescent="0.3">
      <c r="A12" s="5" t="s">
        <v>93</v>
      </c>
      <c r="B12" s="5" t="s">
        <v>9</v>
      </c>
      <c r="C12" s="5"/>
    </row>
    <row r="13" spans="1:3" ht="40.200000000000003" customHeight="1" x14ac:dyDescent="0.3">
      <c r="A13" s="5" t="s">
        <v>94</v>
      </c>
      <c r="B13" s="5" t="s">
        <v>10</v>
      </c>
      <c r="C13" s="5" t="s">
        <v>111</v>
      </c>
    </row>
    <row r="14" spans="1:3" ht="40.200000000000003" customHeight="1" x14ac:dyDescent="0.3">
      <c r="A14" s="5" t="s">
        <v>95</v>
      </c>
      <c r="B14" s="5" t="s">
        <v>11</v>
      </c>
      <c r="C14" s="5"/>
    </row>
    <row r="15" spans="1:3" ht="40.200000000000003" customHeight="1" x14ac:dyDescent="0.3">
      <c r="A15" s="5" t="s">
        <v>96</v>
      </c>
      <c r="B15" s="5" t="s">
        <v>102</v>
      </c>
      <c r="C15" s="5" t="s">
        <v>113</v>
      </c>
    </row>
    <row r="16" spans="1:3" ht="40.200000000000003" customHeight="1" x14ac:dyDescent="0.3">
      <c r="A16" s="5" t="s">
        <v>97</v>
      </c>
      <c r="B16" s="5" t="s">
        <v>103</v>
      </c>
      <c r="C16" s="5" t="s">
        <v>114</v>
      </c>
    </row>
    <row r="17" spans="1:3" ht="40.200000000000003" customHeight="1" x14ac:dyDescent="0.3">
      <c r="A17" s="5" t="s">
        <v>98</v>
      </c>
      <c r="B17" s="5" t="s">
        <v>104</v>
      </c>
      <c r="C17" s="5" t="s">
        <v>115</v>
      </c>
    </row>
    <row r="18" spans="1:3" ht="40.200000000000003" customHeight="1" x14ac:dyDescent="0.3">
      <c r="A18" s="5" t="s">
        <v>99</v>
      </c>
      <c r="B18" s="5" t="s">
        <v>12</v>
      </c>
      <c r="C18" s="5" t="s">
        <v>116</v>
      </c>
    </row>
    <row r="19" spans="1:3" ht="40.200000000000003" customHeight="1" x14ac:dyDescent="0.3">
      <c r="A19" s="5" t="s">
        <v>100</v>
      </c>
      <c r="B19" s="5" t="s">
        <v>13</v>
      </c>
      <c r="C19" s="5" t="s">
        <v>117</v>
      </c>
    </row>
  </sheetData>
  <pageMargins left="0.7" right="0.7" top="0.75" bottom="0.75" header="0.3" footer="0.3"/>
  <ignoredErrors>
    <ignoredError sqref="B5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FB40-948A-4A98-AA55-976C37331CC2}">
  <dimension ref="A1:H12"/>
  <sheetViews>
    <sheetView workbookViewId="0">
      <selection activeCell="B17" sqref="B17"/>
    </sheetView>
  </sheetViews>
  <sheetFormatPr defaultRowHeight="12.6" customHeight="1" x14ac:dyDescent="0.3"/>
  <cols>
    <col min="1" max="1" width="10.44140625" customWidth="1"/>
    <col min="2" max="2" width="24.109375" bestFit="1" customWidth="1"/>
    <col min="3" max="3" width="37.44140625" customWidth="1"/>
    <col min="4" max="4" width="10.44140625" customWidth="1"/>
    <col min="5" max="5" width="16.77734375" customWidth="1"/>
    <col min="6" max="6" width="12.5546875" customWidth="1"/>
    <col min="7" max="7" width="19.109375" customWidth="1"/>
    <col min="8" max="8" width="35.77734375" customWidth="1"/>
  </cols>
  <sheetData>
    <row r="1" spans="1:8" s="4" customFormat="1" ht="27.6" customHeight="1" x14ac:dyDescent="0.3">
      <c r="A1" s="6" t="s">
        <v>51</v>
      </c>
      <c r="B1" s="6" t="s">
        <v>118</v>
      </c>
      <c r="C1" s="6" t="s">
        <v>119</v>
      </c>
      <c r="D1" s="6" t="s">
        <v>120</v>
      </c>
      <c r="E1" s="6" t="s">
        <v>121</v>
      </c>
      <c r="F1" s="6" t="s">
        <v>122</v>
      </c>
      <c r="G1" s="6" t="s">
        <v>123</v>
      </c>
      <c r="H1" s="6" t="s">
        <v>124</v>
      </c>
    </row>
    <row r="2" spans="1:8" ht="49.8" customHeight="1" x14ac:dyDescent="0.3">
      <c r="A2" s="7" t="s">
        <v>52</v>
      </c>
      <c r="B2" s="7" t="s">
        <v>16</v>
      </c>
      <c r="C2" s="8" t="s">
        <v>125</v>
      </c>
      <c r="D2" s="7" t="s">
        <v>129</v>
      </c>
      <c r="E2" s="7" t="s">
        <v>53</v>
      </c>
      <c r="F2" s="7">
        <v>45</v>
      </c>
      <c r="G2" s="7">
        <v>24</v>
      </c>
      <c r="H2" s="5" t="s">
        <v>131</v>
      </c>
    </row>
    <row r="3" spans="1:8" ht="49.8" customHeight="1" x14ac:dyDescent="0.3">
      <c r="A3" s="7" t="s">
        <v>54</v>
      </c>
      <c r="B3" s="7" t="s">
        <v>15</v>
      </c>
      <c r="C3" s="8" t="s">
        <v>126</v>
      </c>
      <c r="D3" s="7" t="s">
        <v>129</v>
      </c>
      <c r="E3" s="7" t="s">
        <v>55</v>
      </c>
      <c r="F3" s="7">
        <v>30</v>
      </c>
      <c r="G3" s="7">
        <v>18</v>
      </c>
      <c r="H3" s="5" t="s">
        <v>132</v>
      </c>
    </row>
    <row r="4" spans="1:8" ht="49.8" customHeight="1" x14ac:dyDescent="0.3">
      <c r="A4" s="7" t="s">
        <v>56</v>
      </c>
      <c r="B4" s="7" t="s">
        <v>57</v>
      </c>
      <c r="C4" s="8" t="s">
        <v>127</v>
      </c>
      <c r="D4" s="7" t="s">
        <v>130</v>
      </c>
      <c r="E4" s="7" t="s">
        <v>58</v>
      </c>
      <c r="F4" s="7">
        <v>25</v>
      </c>
      <c r="G4" s="7">
        <v>15</v>
      </c>
      <c r="H4" s="5" t="s">
        <v>133</v>
      </c>
    </row>
    <row r="5" spans="1:8" ht="49.8" customHeight="1" x14ac:dyDescent="0.3">
      <c r="A5" s="7" t="s">
        <v>59</v>
      </c>
      <c r="B5" s="7" t="s">
        <v>60</v>
      </c>
      <c r="C5" s="8" t="s">
        <v>128</v>
      </c>
      <c r="D5" s="7" t="s">
        <v>130</v>
      </c>
      <c r="E5" s="7" t="s">
        <v>58</v>
      </c>
      <c r="F5" s="7">
        <v>35</v>
      </c>
      <c r="G5" s="7">
        <v>20</v>
      </c>
      <c r="H5" s="5" t="s">
        <v>134</v>
      </c>
    </row>
    <row r="12" spans="1:8" ht="12.6" customHeight="1" x14ac:dyDescent="0.3">
      <c r="C12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427-8EF8-444F-B57D-CF950B29B729}">
  <dimension ref="A1:L1372"/>
  <sheetViews>
    <sheetView workbookViewId="0">
      <selection activeCell="C27" sqref="C27"/>
    </sheetView>
  </sheetViews>
  <sheetFormatPr defaultRowHeight="14.4" x14ac:dyDescent="0.3"/>
  <cols>
    <col min="1" max="6" width="15.33203125" customWidth="1"/>
    <col min="9" max="9" width="12.88671875" bestFit="1" customWidth="1"/>
    <col min="10" max="10" width="15.5546875" bestFit="1" customWidth="1"/>
    <col min="11" max="11" width="14.109375" bestFit="1" customWidth="1"/>
    <col min="12" max="12" width="11" bestFit="1" customWidth="1"/>
  </cols>
  <sheetData>
    <row r="1" spans="1:12" x14ac:dyDescent="0.3">
      <c r="A1" t="s">
        <v>135</v>
      </c>
      <c r="B1" t="s">
        <v>14</v>
      </c>
      <c r="C1" t="s">
        <v>136</v>
      </c>
      <c r="D1" t="s">
        <v>137</v>
      </c>
      <c r="E1" t="s">
        <v>138</v>
      </c>
      <c r="F1" t="s">
        <v>139</v>
      </c>
    </row>
    <row r="2" spans="1:12" x14ac:dyDescent="0.3">
      <c r="A2" s="1">
        <v>45383</v>
      </c>
      <c r="B2" t="s">
        <v>15</v>
      </c>
      <c r="C2">
        <v>18</v>
      </c>
      <c r="D2">
        <v>493000</v>
      </c>
      <c r="E2" t="str">
        <f t="shared" ref="E2:E65" si="0">TEXT(A2,"yyyy-mm")</f>
        <v>2024-04</v>
      </c>
      <c r="F2" t="str">
        <f t="shared" ref="F2:F65" si="1">TEXT(A2,"ddd")</f>
        <v>Mon</v>
      </c>
    </row>
    <row r="3" spans="1:12" x14ac:dyDescent="0.3">
      <c r="A3" s="1">
        <v>45384</v>
      </c>
      <c r="B3" t="s">
        <v>15</v>
      </c>
      <c r="C3">
        <v>24</v>
      </c>
      <c r="D3">
        <v>464000</v>
      </c>
      <c r="E3" t="str">
        <f t="shared" si="0"/>
        <v>2024-04</v>
      </c>
      <c r="F3" t="str">
        <f t="shared" si="1"/>
        <v>Tue</v>
      </c>
      <c r="I3" s="2" t="s">
        <v>44</v>
      </c>
      <c r="J3" s="2" t="s">
        <v>43</v>
      </c>
    </row>
    <row r="4" spans="1:12" x14ac:dyDescent="0.3">
      <c r="A4" s="1">
        <v>45385</v>
      </c>
      <c r="B4" t="s">
        <v>15</v>
      </c>
      <c r="C4">
        <v>18</v>
      </c>
      <c r="D4">
        <v>474000</v>
      </c>
      <c r="E4" t="str">
        <f t="shared" si="0"/>
        <v>2024-04</v>
      </c>
      <c r="F4" t="str">
        <f t="shared" si="1"/>
        <v>Wed</v>
      </c>
      <c r="I4" s="2" t="s">
        <v>17</v>
      </c>
      <c r="J4" t="s">
        <v>15</v>
      </c>
      <c r="K4" t="s">
        <v>16</v>
      </c>
      <c r="L4" t="s">
        <v>42</v>
      </c>
    </row>
    <row r="5" spans="1:12" x14ac:dyDescent="0.3">
      <c r="A5" s="1">
        <v>45386</v>
      </c>
      <c r="B5" t="s">
        <v>15</v>
      </c>
      <c r="C5">
        <v>7</v>
      </c>
      <c r="D5">
        <v>145000</v>
      </c>
      <c r="E5" t="str">
        <f t="shared" si="0"/>
        <v>2024-04</v>
      </c>
      <c r="F5" t="str">
        <f t="shared" si="1"/>
        <v>Thu</v>
      </c>
      <c r="I5" s="3" t="s">
        <v>18</v>
      </c>
      <c r="K5">
        <v>23311000</v>
      </c>
      <c r="L5">
        <v>23311000</v>
      </c>
    </row>
    <row r="6" spans="1:12" x14ac:dyDescent="0.3">
      <c r="A6" s="1">
        <v>45387</v>
      </c>
      <c r="B6" t="s">
        <v>15</v>
      </c>
      <c r="C6">
        <v>11</v>
      </c>
      <c r="D6">
        <v>229000</v>
      </c>
      <c r="E6" t="str">
        <f t="shared" si="0"/>
        <v>2024-04</v>
      </c>
      <c r="F6" t="str">
        <f t="shared" si="1"/>
        <v>Fri</v>
      </c>
      <c r="I6" s="3" t="s">
        <v>19</v>
      </c>
      <c r="K6">
        <v>21807000</v>
      </c>
      <c r="L6">
        <v>21807000</v>
      </c>
    </row>
    <row r="7" spans="1:12" x14ac:dyDescent="0.3">
      <c r="A7" s="1">
        <v>45388</v>
      </c>
      <c r="B7" t="s">
        <v>15</v>
      </c>
      <c r="C7">
        <v>15</v>
      </c>
      <c r="D7">
        <v>299000</v>
      </c>
      <c r="E7" t="str">
        <f t="shared" si="0"/>
        <v>2024-04</v>
      </c>
      <c r="F7" t="str">
        <f t="shared" si="1"/>
        <v>Sat</v>
      </c>
      <c r="I7" s="3" t="s">
        <v>20</v>
      </c>
      <c r="K7">
        <v>23568000</v>
      </c>
      <c r="L7">
        <v>23568000</v>
      </c>
    </row>
    <row r="8" spans="1:12" x14ac:dyDescent="0.3">
      <c r="A8" s="1">
        <v>45389</v>
      </c>
      <c r="B8" t="s">
        <v>15</v>
      </c>
      <c r="C8">
        <v>15</v>
      </c>
      <c r="D8">
        <v>263000</v>
      </c>
      <c r="E8" t="str">
        <f t="shared" si="0"/>
        <v>2024-04</v>
      </c>
      <c r="F8" t="str">
        <f t="shared" si="1"/>
        <v>Sun</v>
      </c>
      <c r="I8" s="3" t="s">
        <v>21</v>
      </c>
      <c r="J8">
        <v>7934000</v>
      </c>
      <c r="K8">
        <v>21618000</v>
      </c>
      <c r="L8">
        <v>29552000</v>
      </c>
    </row>
    <row r="9" spans="1:12" x14ac:dyDescent="0.3">
      <c r="A9" s="1">
        <v>45390</v>
      </c>
      <c r="B9" t="s">
        <v>15</v>
      </c>
      <c r="C9">
        <v>11</v>
      </c>
      <c r="D9">
        <v>216000</v>
      </c>
      <c r="E9" t="str">
        <f t="shared" si="0"/>
        <v>2024-04</v>
      </c>
      <c r="F9" t="str">
        <f t="shared" si="1"/>
        <v>Mon</v>
      </c>
      <c r="I9" s="3" t="s">
        <v>22</v>
      </c>
      <c r="J9">
        <v>9698000</v>
      </c>
      <c r="K9">
        <v>24497000</v>
      </c>
      <c r="L9">
        <v>34195000</v>
      </c>
    </row>
    <row r="10" spans="1:12" x14ac:dyDescent="0.3">
      <c r="A10" s="1">
        <v>45391</v>
      </c>
      <c r="B10" t="s">
        <v>15</v>
      </c>
      <c r="C10">
        <v>11</v>
      </c>
      <c r="D10">
        <v>208000</v>
      </c>
      <c r="E10" t="str">
        <f t="shared" si="0"/>
        <v>2024-04</v>
      </c>
      <c r="F10" t="str">
        <f t="shared" si="1"/>
        <v>Tue</v>
      </c>
      <c r="I10" s="3" t="s">
        <v>23</v>
      </c>
      <c r="J10">
        <v>11495000</v>
      </c>
      <c r="K10">
        <v>24032000</v>
      </c>
      <c r="L10">
        <v>35527000</v>
      </c>
    </row>
    <row r="11" spans="1:12" x14ac:dyDescent="0.3">
      <c r="A11" s="1">
        <v>45392</v>
      </c>
      <c r="B11" t="s">
        <v>15</v>
      </c>
      <c r="C11">
        <v>7</v>
      </c>
      <c r="D11">
        <v>193000</v>
      </c>
      <c r="E11" t="str">
        <f t="shared" si="0"/>
        <v>2024-04</v>
      </c>
      <c r="F11" t="str">
        <f t="shared" si="1"/>
        <v>Wed</v>
      </c>
      <c r="I11" s="3" t="s">
        <v>24</v>
      </c>
      <c r="J11">
        <v>7654000</v>
      </c>
      <c r="K11">
        <v>25994000</v>
      </c>
      <c r="L11">
        <v>33648000</v>
      </c>
    </row>
    <row r="12" spans="1:12" x14ac:dyDescent="0.3">
      <c r="A12" s="1">
        <v>45393</v>
      </c>
      <c r="B12" t="s">
        <v>15</v>
      </c>
      <c r="C12">
        <v>11</v>
      </c>
      <c r="D12">
        <v>227000</v>
      </c>
      <c r="E12" t="str">
        <f t="shared" si="0"/>
        <v>2024-04</v>
      </c>
      <c r="F12" t="str">
        <f t="shared" si="1"/>
        <v>Thu</v>
      </c>
      <c r="I12" s="3" t="s">
        <v>25</v>
      </c>
      <c r="J12">
        <v>16359000</v>
      </c>
      <c r="K12">
        <v>20348000</v>
      </c>
      <c r="L12">
        <v>36707000</v>
      </c>
    </row>
    <row r="13" spans="1:12" x14ac:dyDescent="0.3">
      <c r="A13" s="1">
        <v>45394</v>
      </c>
      <c r="B13" t="s">
        <v>15</v>
      </c>
      <c r="C13">
        <v>10</v>
      </c>
      <c r="D13">
        <v>202000</v>
      </c>
      <c r="E13" t="str">
        <f t="shared" si="0"/>
        <v>2024-04</v>
      </c>
      <c r="F13" t="str">
        <f t="shared" si="1"/>
        <v>Fri</v>
      </c>
      <c r="I13" s="3" t="s">
        <v>26</v>
      </c>
      <c r="J13">
        <v>17983000</v>
      </c>
      <c r="K13">
        <v>25277000</v>
      </c>
      <c r="L13">
        <v>43260000</v>
      </c>
    </row>
    <row r="14" spans="1:12" x14ac:dyDescent="0.3">
      <c r="A14" s="1">
        <v>45395</v>
      </c>
      <c r="B14" t="s">
        <v>15</v>
      </c>
      <c r="C14">
        <v>14</v>
      </c>
      <c r="D14">
        <v>278000</v>
      </c>
      <c r="E14" t="str">
        <f t="shared" si="0"/>
        <v>2024-04</v>
      </c>
      <c r="F14" t="str">
        <f t="shared" si="1"/>
        <v>Sat</v>
      </c>
      <c r="I14" s="3" t="s">
        <v>27</v>
      </c>
      <c r="J14">
        <v>19908000</v>
      </c>
      <c r="K14">
        <v>27126000</v>
      </c>
      <c r="L14">
        <v>47034000</v>
      </c>
    </row>
    <row r="15" spans="1:12" x14ac:dyDescent="0.3">
      <c r="A15" s="1">
        <v>45396</v>
      </c>
      <c r="B15" t="s">
        <v>15</v>
      </c>
      <c r="C15">
        <v>14</v>
      </c>
      <c r="D15">
        <v>268000</v>
      </c>
      <c r="E15" t="str">
        <f t="shared" si="0"/>
        <v>2024-04</v>
      </c>
      <c r="F15" t="str">
        <f t="shared" si="1"/>
        <v>Sun</v>
      </c>
      <c r="I15" s="3" t="s">
        <v>28</v>
      </c>
      <c r="J15">
        <v>19575000</v>
      </c>
      <c r="K15">
        <v>26274000</v>
      </c>
      <c r="L15">
        <v>45849000</v>
      </c>
    </row>
    <row r="16" spans="1:12" x14ac:dyDescent="0.3">
      <c r="A16" s="1">
        <v>45397</v>
      </c>
      <c r="B16" t="s">
        <v>15</v>
      </c>
      <c r="C16">
        <v>12</v>
      </c>
      <c r="D16">
        <v>224000</v>
      </c>
      <c r="E16" t="str">
        <f t="shared" si="0"/>
        <v>2024-04</v>
      </c>
      <c r="F16" t="str">
        <f t="shared" si="1"/>
        <v>Mon</v>
      </c>
      <c r="I16" s="3" t="s">
        <v>29</v>
      </c>
      <c r="J16">
        <v>19798000</v>
      </c>
      <c r="K16">
        <v>33596000</v>
      </c>
      <c r="L16">
        <v>53394000</v>
      </c>
    </row>
    <row r="17" spans="1:12" x14ac:dyDescent="0.3">
      <c r="A17" s="1">
        <v>45398</v>
      </c>
      <c r="B17" t="s">
        <v>15</v>
      </c>
      <c r="C17">
        <v>11</v>
      </c>
      <c r="D17">
        <v>214000</v>
      </c>
      <c r="E17" t="str">
        <f t="shared" si="0"/>
        <v>2024-04</v>
      </c>
      <c r="F17" t="str">
        <f t="shared" si="1"/>
        <v>Tue</v>
      </c>
      <c r="I17" s="3" t="s">
        <v>30</v>
      </c>
      <c r="J17">
        <v>14331000</v>
      </c>
      <c r="K17">
        <v>28787000</v>
      </c>
      <c r="L17">
        <v>43118000</v>
      </c>
    </row>
    <row r="18" spans="1:12" x14ac:dyDescent="0.3">
      <c r="A18" s="1">
        <v>45399</v>
      </c>
      <c r="B18" t="s">
        <v>15</v>
      </c>
      <c r="C18">
        <v>10</v>
      </c>
      <c r="D18">
        <v>230000</v>
      </c>
      <c r="E18" t="str">
        <f t="shared" si="0"/>
        <v>2024-04</v>
      </c>
      <c r="F18" t="str">
        <f t="shared" si="1"/>
        <v>Wed</v>
      </c>
      <c r="I18" s="3" t="s">
        <v>31</v>
      </c>
      <c r="J18">
        <v>18588000</v>
      </c>
      <c r="K18">
        <v>26023000</v>
      </c>
      <c r="L18">
        <v>44611000</v>
      </c>
    </row>
    <row r="19" spans="1:12" x14ac:dyDescent="0.3">
      <c r="A19" s="1">
        <v>45400</v>
      </c>
      <c r="B19" t="s">
        <v>15</v>
      </c>
      <c r="C19">
        <v>10</v>
      </c>
      <c r="D19">
        <v>207000</v>
      </c>
      <c r="E19" t="str">
        <f t="shared" si="0"/>
        <v>2024-04</v>
      </c>
      <c r="F19" t="str">
        <f t="shared" si="1"/>
        <v>Thu</v>
      </c>
      <c r="I19" s="3" t="s">
        <v>32</v>
      </c>
      <c r="J19">
        <v>21933000</v>
      </c>
      <c r="K19">
        <v>28568000</v>
      </c>
      <c r="L19">
        <v>50501000</v>
      </c>
    </row>
    <row r="20" spans="1:12" x14ac:dyDescent="0.3">
      <c r="A20" s="1">
        <v>45401</v>
      </c>
      <c r="B20" t="s">
        <v>15</v>
      </c>
      <c r="C20">
        <v>10</v>
      </c>
      <c r="D20">
        <v>225000</v>
      </c>
      <c r="E20" t="str">
        <f t="shared" si="0"/>
        <v>2024-04</v>
      </c>
      <c r="F20" t="str">
        <f t="shared" si="1"/>
        <v>Fri</v>
      </c>
      <c r="I20" s="3" t="s">
        <v>33</v>
      </c>
      <c r="J20">
        <v>20604000</v>
      </c>
      <c r="K20">
        <v>28062000</v>
      </c>
      <c r="L20">
        <v>48666000</v>
      </c>
    </row>
    <row r="21" spans="1:12" x14ac:dyDescent="0.3">
      <c r="A21" s="1">
        <v>45402</v>
      </c>
      <c r="B21" t="s">
        <v>15</v>
      </c>
      <c r="C21">
        <v>14</v>
      </c>
      <c r="D21">
        <v>280000</v>
      </c>
      <c r="E21" t="str">
        <f t="shared" si="0"/>
        <v>2024-04</v>
      </c>
      <c r="F21" t="str">
        <f t="shared" si="1"/>
        <v>Sat</v>
      </c>
      <c r="I21" s="3" t="s">
        <v>34</v>
      </c>
      <c r="J21">
        <v>21185000</v>
      </c>
      <c r="K21">
        <v>30024000</v>
      </c>
      <c r="L21">
        <v>51209000</v>
      </c>
    </row>
    <row r="22" spans="1:12" x14ac:dyDescent="0.3">
      <c r="A22" s="1">
        <v>45403</v>
      </c>
      <c r="B22" t="s">
        <v>15</v>
      </c>
      <c r="C22">
        <v>16</v>
      </c>
      <c r="D22">
        <v>336000</v>
      </c>
      <c r="E22" t="str">
        <f t="shared" si="0"/>
        <v>2024-04</v>
      </c>
      <c r="F22" t="str">
        <f t="shared" si="1"/>
        <v>Sun</v>
      </c>
      <c r="I22" s="3" t="s">
        <v>35</v>
      </c>
      <c r="J22">
        <v>21002000</v>
      </c>
      <c r="K22">
        <v>29850000</v>
      </c>
      <c r="L22">
        <v>50852000</v>
      </c>
    </row>
    <row r="23" spans="1:12" x14ac:dyDescent="0.3">
      <c r="A23" s="1">
        <v>45404</v>
      </c>
      <c r="B23" t="s">
        <v>15</v>
      </c>
      <c r="C23">
        <v>10</v>
      </c>
      <c r="D23">
        <v>233000</v>
      </c>
      <c r="E23" t="str">
        <f t="shared" si="0"/>
        <v>2024-04</v>
      </c>
      <c r="F23" t="str">
        <f t="shared" si="1"/>
        <v>Mon</v>
      </c>
      <c r="I23" s="3" t="s">
        <v>36</v>
      </c>
      <c r="J23">
        <v>12315000</v>
      </c>
      <c r="K23">
        <v>31429000</v>
      </c>
      <c r="L23">
        <v>43744000</v>
      </c>
    </row>
    <row r="24" spans="1:12" x14ac:dyDescent="0.3">
      <c r="A24" s="1">
        <v>45405</v>
      </c>
      <c r="B24" t="s">
        <v>15</v>
      </c>
      <c r="C24">
        <v>11</v>
      </c>
      <c r="D24">
        <v>238000</v>
      </c>
      <c r="E24" t="str">
        <f t="shared" si="0"/>
        <v>2024-04</v>
      </c>
      <c r="F24" t="str">
        <f t="shared" si="1"/>
        <v>Tue</v>
      </c>
      <c r="I24" s="3" t="s">
        <v>37</v>
      </c>
      <c r="J24">
        <v>22181000</v>
      </c>
      <c r="K24">
        <v>30593000</v>
      </c>
      <c r="L24">
        <v>52774000</v>
      </c>
    </row>
    <row r="25" spans="1:12" x14ac:dyDescent="0.3">
      <c r="A25" s="1">
        <v>45406</v>
      </c>
      <c r="B25" t="s">
        <v>15</v>
      </c>
      <c r="C25">
        <v>12</v>
      </c>
      <c r="D25">
        <v>242000</v>
      </c>
      <c r="E25" t="str">
        <f t="shared" si="0"/>
        <v>2024-04</v>
      </c>
      <c r="F25" t="str">
        <f t="shared" si="1"/>
        <v>Wed</v>
      </c>
      <c r="I25" s="3" t="s">
        <v>38</v>
      </c>
      <c r="J25">
        <v>21704000</v>
      </c>
      <c r="K25">
        <v>31714000</v>
      </c>
      <c r="L25">
        <v>53418000</v>
      </c>
    </row>
    <row r="26" spans="1:12" x14ac:dyDescent="0.3">
      <c r="A26" s="1">
        <v>45407</v>
      </c>
      <c r="B26" t="s">
        <v>15</v>
      </c>
      <c r="C26">
        <v>10</v>
      </c>
      <c r="D26">
        <v>211000</v>
      </c>
      <c r="E26" t="str">
        <f t="shared" si="0"/>
        <v>2024-04</v>
      </c>
      <c r="F26" t="str">
        <f t="shared" si="1"/>
        <v>Thu</v>
      </c>
      <c r="I26" s="3" t="s">
        <v>39</v>
      </c>
      <c r="J26">
        <v>22804000</v>
      </c>
      <c r="K26">
        <v>31755000</v>
      </c>
      <c r="L26">
        <v>54559000</v>
      </c>
    </row>
    <row r="27" spans="1:12" x14ac:dyDescent="0.3">
      <c r="A27" s="1">
        <v>45408</v>
      </c>
      <c r="B27" t="s">
        <v>15</v>
      </c>
      <c r="C27">
        <v>12</v>
      </c>
      <c r="D27">
        <v>256000</v>
      </c>
      <c r="E27" t="str">
        <f t="shared" si="0"/>
        <v>2024-04</v>
      </c>
      <c r="F27" t="str">
        <f t="shared" si="1"/>
        <v>Fri</v>
      </c>
      <c r="I27" s="3" t="s">
        <v>40</v>
      </c>
      <c r="J27">
        <v>22596000</v>
      </c>
      <c r="K27">
        <v>30706000</v>
      </c>
      <c r="L27">
        <v>53302000</v>
      </c>
    </row>
    <row r="28" spans="1:12" x14ac:dyDescent="0.3">
      <c r="A28" s="1">
        <v>45409</v>
      </c>
      <c r="B28" t="s">
        <v>15</v>
      </c>
      <c r="C28">
        <v>16</v>
      </c>
      <c r="D28">
        <v>394000</v>
      </c>
      <c r="E28" t="str">
        <f t="shared" si="0"/>
        <v>2024-04</v>
      </c>
      <c r="F28" t="str">
        <f t="shared" si="1"/>
        <v>Sat</v>
      </c>
      <c r="I28" s="3" t="s">
        <v>41</v>
      </c>
      <c r="J28">
        <v>23202000</v>
      </c>
      <c r="K28">
        <v>39897000</v>
      </c>
      <c r="L28">
        <v>63099000</v>
      </c>
    </row>
    <row r="29" spans="1:12" x14ac:dyDescent="0.3">
      <c r="A29" s="1">
        <v>45410</v>
      </c>
      <c r="B29" t="s">
        <v>15</v>
      </c>
      <c r="C29">
        <v>13</v>
      </c>
      <c r="D29">
        <v>276000</v>
      </c>
      <c r="E29" t="str">
        <f t="shared" si="0"/>
        <v>2024-04</v>
      </c>
      <c r="F29" t="str">
        <f t="shared" si="1"/>
        <v>Sun</v>
      </c>
      <c r="I29" s="3" t="s">
        <v>42</v>
      </c>
      <c r="J29">
        <v>372849000</v>
      </c>
      <c r="K29">
        <v>664856000</v>
      </c>
      <c r="L29">
        <v>1037705000</v>
      </c>
    </row>
    <row r="30" spans="1:12" x14ac:dyDescent="0.3">
      <c r="A30" s="1">
        <v>45411</v>
      </c>
      <c r="B30" t="s">
        <v>15</v>
      </c>
      <c r="C30">
        <v>10</v>
      </c>
      <c r="D30">
        <v>201000</v>
      </c>
      <c r="E30" t="str">
        <f t="shared" si="0"/>
        <v>2024-04</v>
      </c>
      <c r="F30" t="str">
        <f t="shared" si="1"/>
        <v>Mon</v>
      </c>
    </row>
    <row r="31" spans="1:12" x14ac:dyDescent="0.3">
      <c r="A31" s="1">
        <v>45412</v>
      </c>
      <c r="B31" t="s">
        <v>15</v>
      </c>
      <c r="C31">
        <v>9</v>
      </c>
      <c r="D31">
        <v>208000</v>
      </c>
      <c r="E31" t="str">
        <f t="shared" si="0"/>
        <v>2024-04</v>
      </c>
      <c r="F31" t="str">
        <f t="shared" si="1"/>
        <v>Tue</v>
      </c>
    </row>
    <row r="32" spans="1:12" x14ac:dyDescent="0.3">
      <c r="A32" s="1">
        <v>45413</v>
      </c>
      <c r="B32" t="s">
        <v>15</v>
      </c>
      <c r="C32">
        <v>14</v>
      </c>
      <c r="D32">
        <v>268000</v>
      </c>
      <c r="E32" t="str">
        <f t="shared" si="0"/>
        <v>2024-05</v>
      </c>
      <c r="F32" t="str">
        <f t="shared" si="1"/>
        <v>Wed</v>
      </c>
    </row>
    <row r="33" spans="1:6" x14ac:dyDescent="0.3">
      <c r="A33" s="1">
        <v>45414</v>
      </c>
      <c r="B33" t="s">
        <v>15</v>
      </c>
      <c r="C33">
        <v>12</v>
      </c>
      <c r="D33">
        <v>253000</v>
      </c>
      <c r="E33" t="str">
        <f t="shared" si="0"/>
        <v>2024-05</v>
      </c>
      <c r="F33" t="str">
        <f t="shared" si="1"/>
        <v>Thu</v>
      </c>
    </row>
    <row r="34" spans="1:6" x14ac:dyDescent="0.3">
      <c r="A34" s="1">
        <v>45415</v>
      </c>
      <c r="B34" t="s">
        <v>15</v>
      </c>
      <c r="C34">
        <v>12</v>
      </c>
      <c r="D34">
        <v>278000</v>
      </c>
      <c r="E34" t="str">
        <f t="shared" si="0"/>
        <v>2024-05</v>
      </c>
      <c r="F34" t="str">
        <f t="shared" si="1"/>
        <v>Fri</v>
      </c>
    </row>
    <row r="35" spans="1:6" x14ac:dyDescent="0.3">
      <c r="A35" s="1">
        <v>45416</v>
      </c>
      <c r="B35" t="s">
        <v>15</v>
      </c>
      <c r="C35">
        <v>17</v>
      </c>
      <c r="D35">
        <v>372000</v>
      </c>
      <c r="E35" t="str">
        <f t="shared" si="0"/>
        <v>2024-05</v>
      </c>
      <c r="F35" t="str">
        <f t="shared" si="1"/>
        <v>Sat</v>
      </c>
    </row>
    <row r="36" spans="1:6" x14ac:dyDescent="0.3">
      <c r="A36" s="1">
        <v>45417</v>
      </c>
      <c r="B36" t="s">
        <v>15</v>
      </c>
      <c r="C36">
        <v>17</v>
      </c>
      <c r="D36">
        <v>357000</v>
      </c>
      <c r="E36" t="str">
        <f t="shared" si="0"/>
        <v>2024-05</v>
      </c>
      <c r="F36" t="str">
        <f t="shared" si="1"/>
        <v>Sun</v>
      </c>
    </row>
    <row r="37" spans="1:6" x14ac:dyDescent="0.3">
      <c r="A37" s="1">
        <v>45418</v>
      </c>
      <c r="B37" t="s">
        <v>15</v>
      </c>
      <c r="C37">
        <v>12</v>
      </c>
      <c r="D37">
        <v>265000</v>
      </c>
      <c r="E37" t="str">
        <f t="shared" si="0"/>
        <v>2024-05</v>
      </c>
      <c r="F37" t="str">
        <f t="shared" si="1"/>
        <v>Mon</v>
      </c>
    </row>
    <row r="38" spans="1:6" x14ac:dyDescent="0.3">
      <c r="A38" s="1">
        <v>45419</v>
      </c>
      <c r="B38" t="s">
        <v>15</v>
      </c>
      <c r="C38">
        <v>17</v>
      </c>
      <c r="D38">
        <v>255000</v>
      </c>
      <c r="E38" t="str">
        <f t="shared" si="0"/>
        <v>2024-05</v>
      </c>
      <c r="F38" t="str">
        <f t="shared" si="1"/>
        <v>Tue</v>
      </c>
    </row>
    <row r="39" spans="1:6" x14ac:dyDescent="0.3">
      <c r="A39" s="1">
        <v>45420</v>
      </c>
      <c r="B39" t="s">
        <v>15</v>
      </c>
      <c r="C39">
        <v>12</v>
      </c>
      <c r="D39">
        <v>284000</v>
      </c>
      <c r="E39" t="str">
        <f t="shared" si="0"/>
        <v>2024-05</v>
      </c>
      <c r="F39" t="str">
        <f t="shared" si="1"/>
        <v>Wed</v>
      </c>
    </row>
    <row r="40" spans="1:6" x14ac:dyDescent="0.3">
      <c r="A40" s="1">
        <v>45421</v>
      </c>
      <c r="B40" t="s">
        <v>15</v>
      </c>
      <c r="C40">
        <v>12</v>
      </c>
      <c r="D40">
        <v>234000</v>
      </c>
      <c r="E40" t="str">
        <f t="shared" si="0"/>
        <v>2024-05</v>
      </c>
      <c r="F40" t="str">
        <f t="shared" si="1"/>
        <v>Thu</v>
      </c>
    </row>
    <row r="41" spans="1:6" x14ac:dyDescent="0.3">
      <c r="A41" s="1">
        <v>45422</v>
      </c>
      <c r="B41" t="s">
        <v>15</v>
      </c>
      <c r="C41">
        <v>14</v>
      </c>
      <c r="D41">
        <v>255000</v>
      </c>
      <c r="E41" t="str">
        <f t="shared" si="0"/>
        <v>2024-05</v>
      </c>
      <c r="F41" t="str">
        <f t="shared" si="1"/>
        <v>Fri</v>
      </c>
    </row>
    <row r="42" spans="1:6" x14ac:dyDescent="0.3">
      <c r="A42" s="1">
        <v>45423</v>
      </c>
      <c r="B42" t="s">
        <v>15</v>
      </c>
      <c r="C42">
        <v>17</v>
      </c>
      <c r="D42">
        <v>376000</v>
      </c>
      <c r="E42" t="str">
        <f t="shared" si="0"/>
        <v>2024-05</v>
      </c>
      <c r="F42" t="str">
        <f t="shared" si="1"/>
        <v>Sat</v>
      </c>
    </row>
    <row r="43" spans="1:6" x14ac:dyDescent="0.3">
      <c r="A43" s="1">
        <v>45424</v>
      </c>
      <c r="B43" t="s">
        <v>15</v>
      </c>
      <c r="C43">
        <v>19</v>
      </c>
      <c r="D43">
        <v>436000</v>
      </c>
      <c r="E43" t="str">
        <f t="shared" si="0"/>
        <v>2024-05</v>
      </c>
      <c r="F43" t="str">
        <f t="shared" si="1"/>
        <v>Sun</v>
      </c>
    </row>
    <row r="44" spans="1:6" x14ac:dyDescent="0.3">
      <c r="A44" s="1">
        <v>45425</v>
      </c>
      <c r="B44" t="s">
        <v>15</v>
      </c>
      <c r="C44">
        <v>12</v>
      </c>
      <c r="D44">
        <v>251000</v>
      </c>
      <c r="E44" t="str">
        <f t="shared" si="0"/>
        <v>2024-05</v>
      </c>
      <c r="F44" t="str">
        <f t="shared" si="1"/>
        <v>Mon</v>
      </c>
    </row>
    <row r="45" spans="1:6" x14ac:dyDescent="0.3">
      <c r="A45" s="1">
        <v>45426</v>
      </c>
      <c r="B45" t="s">
        <v>15</v>
      </c>
      <c r="C45">
        <v>13</v>
      </c>
      <c r="D45">
        <v>245000</v>
      </c>
      <c r="E45" t="str">
        <f t="shared" si="0"/>
        <v>2024-05</v>
      </c>
      <c r="F45" t="str">
        <f t="shared" si="1"/>
        <v>Tue</v>
      </c>
    </row>
    <row r="46" spans="1:6" x14ac:dyDescent="0.3">
      <c r="A46" s="1">
        <v>45427</v>
      </c>
      <c r="B46" t="s">
        <v>15</v>
      </c>
      <c r="C46">
        <v>12</v>
      </c>
      <c r="D46">
        <v>261000</v>
      </c>
      <c r="E46" t="str">
        <f t="shared" si="0"/>
        <v>2024-05</v>
      </c>
      <c r="F46" t="str">
        <f t="shared" si="1"/>
        <v>Wed</v>
      </c>
    </row>
    <row r="47" spans="1:6" x14ac:dyDescent="0.3">
      <c r="A47" s="1">
        <v>45428</v>
      </c>
      <c r="B47" t="s">
        <v>15</v>
      </c>
      <c r="C47">
        <v>15</v>
      </c>
      <c r="D47">
        <v>305000</v>
      </c>
      <c r="E47" t="str">
        <f t="shared" si="0"/>
        <v>2024-05</v>
      </c>
      <c r="F47" t="str">
        <f t="shared" si="1"/>
        <v>Thu</v>
      </c>
    </row>
    <row r="48" spans="1:6" x14ac:dyDescent="0.3">
      <c r="A48" s="1">
        <v>45429</v>
      </c>
      <c r="B48" t="s">
        <v>15</v>
      </c>
      <c r="C48">
        <v>12</v>
      </c>
      <c r="D48">
        <v>274000</v>
      </c>
      <c r="E48" t="str">
        <f t="shared" si="0"/>
        <v>2024-05</v>
      </c>
      <c r="F48" t="str">
        <f t="shared" si="1"/>
        <v>Fri</v>
      </c>
    </row>
    <row r="49" spans="1:6" x14ac:dyDescent="0.3">
      <c r="A49" s="1">
        <v>45430</v>
      </c>
      <c r="B49" t="s">
        <v>15</v>
      </c>
      <c r="C49">
        <v>19</v>
      </c>
      <c r="D49">
        <v>438000</v>
      </c>
      <c r="E49" t="str">
        <f t="shared" si="0"/>
        <v>2024-05</v>
      </c>
      <c r="F49" t="str">
        <f t="shared" si="1"/>
        <v>Sat</v>
      </c>
    </row>
    <row r="50" spans="1:6" x14ac:dyDescent="0.3">
      <c r="A50" s="1">
        <v>45431</v>
      </c>
      <c r="B50" t="s">
        <v>15</v>
      </c>
      <c r="C50">
        <v>15</v>
      </c>
      <c r="D50">
        <v>317000</v>
      </c>
      <c r="E50" t="str">
        <f t="shared" si="0"/>
        <v>2024-05</v>
      </c>
      <c r="F50" t="str">
        <f t="shared" si="1"/>
        <v>Sun</v>
      </c>
    </row>
    <row r="51" spans="1:6" x14ac:dyDescent="0.3">
      <c r="A51" s="1">
        <v>45432</v>
      </c>
      <c r="B51" t="s">
        <v>15</v>
      </c>
      <c r="C51">
        <v>14</v>
      </c>
      <c r="D51">
        <v>319000</v>
      </c>
      <c r="E51" t="str">
        <f t="shared" si="0"/>
        <v>2024-05</v>
      </c>
      <c r="F51" t="str">
        <f t="shared" si="1"/>
        <v>Mon</v>
      </c>
    </row>
    <row r="52" spans="1:6" x14ac:dyDescent="0.3">
      <c r="A52" s="1">
        <v>45433</v>
      </c>
      <c r="B52" t="s">
        <v>15</v>
      </c>
      <c r="C52">
        <v>15</v>
      </c>
      <c r="D52">
        <v>319000</v>
      </c>
      <c r="E52" t="str">
        <f t="shared" si="0"/>
        <v>2024-05</v>
      </c>
      <c r="F52" t="str">
        <f t="shared" si="1"/>
        <v>Tue</v>
      </c>
    </row>
    <row r="53" spans="1:6" x14ac:dyDescent="0.3">
      <c r="A53" s="1">
        <v>45434</v>
      </c>
      <c r="B53" t="s">
        <v>15</v>
      </c>
      <c r="C53">
        <v>13</v>
      </c>
      <c r="D53">
        <v>250000</v>
      </c>
      <c r="E53" t="str">
        <f t="shared" si="0"/>
        <v>2024-05</v>
      </c>
      <c r="F53" t="str">
        <f t="shared" si="1"/>
        <v>Wed</v>
      </c>
    </row>
    <row r="54" spans="1:6" x14ac:dyDescent="0.3">
      <c r="A54" s="1">
        <v>45435</v>
      </c>
      <c r="B54" t="s">
        <v>15</v>
      </c>
      <c r="C54">
        <v>13</v>
      </c>
      <c r="D54">
        <v>298000</v>
      </c>
      <c r="E54" t="str">
        <f t="shared" si="0"/>
        <v>2024-05</v>
      </c>
      <c r="F54" t="str">
        <f t="shared" si="1"/>
        <v>Thu</v>
      </c>
    </row>
    <row r="55" spans="1:6" x14ac:dyDescent="0.3">
      <c r="A55" s="1">
        <v>45436</v>
      </c>
      <c r="B55" t="s">
        <v>15</v>
      </c>
      <c r="C55">
        <v>15</v>
      </c>
      <c r="D55">
        <v>331000</v>
      </c>
      <c r="E55" t="str">
        <f t="shared" si="0"/>
        <v>2024-05</v>
      </c>
      <c r="F55" t="str">
        <f t="shared" si="1"/>
        <v>Fri</v>
      </c>
    </row>
    <row r="56" spans="1:6" x14ac:dyDescent="0.3">
      <c r="A56" s="1">
        <v>45437</v>
      </c>
      <c r="B56" t="s">
        <v>15</v>
      </c>
      <c r="C56">
        <v>20</v>
      </c>
      <c r="D56">
        <v>410000</v>
      </c>
      <c r="E56" t="str">
        <f t="shared" si="0"/>
        <v>2024-05</v>
      </c>
      <c r="F56" t="str">
        <f t="shared" si="1"/>
        <v>Sat</v>
      </c>
    </row>
    <row r="57" spans="1:6" x14ac:dyDescent="0.3">
      <c r="A57" s="1">
        <v>45438</v>
      </c>
      <c r="B57" t="s">
        <v>15</v>
      </c>
      <c r="C57">
        <v>23</v>
      </c>
      <c r="D57">
        <v>451000</v>
      </c>
      <c r="E57" t="str">
        <f t="shared" si="0"/>
        <v>2024-05</v>
      </c>
      <c r="F57" t="str">
        <f t="shared" si="1"/>
        <v>Sun</v>
      </c>
    </row>
    <row r="58" spans="1:6" x14ac:dyDescent="0.3">
      <c r="A58" s="1">
        <v>45439</v>
      </c>
      <c r="B58" t="s">
        <v>15</v>
      </c>
      <c r="C58">
        <v>17</v>
      </c>
      <c r="D58">
        <v>373000</v>
      </c>
      <c r="E58" t="str">
        <f t="shared" si="0"/>
        <v>2024-05</v>
      </c>
      <c r="F58" t="str">
        <f t="shared" si="1"/>
        <v>Mon</v>
      </c>
    </row>
    <row r="59" spans="1:6" x14ac:dyDescent="0.3">
      <c r="A59" s="1">
        <v>45440</v>
      </c>
      <c r="B59" t="s">
        <v>15</v>
      </c>
      <c r="C59">
        <v>19</v>
      </c>
      <c r="D59">
        <v>312000</v>
      </c>
      <c r="E59" t="str">
        <f t="shared" si="0"/>
        <v>2024-05</v>
      </c>
      <c r="F59" t="str">
        <f t="shared" si="1"/>
        <v>Tue</v>
      </c>
    </row>
    <row r="60" spans="1:6" x14ac:dyDescent="0.3">
      <c r="A60" s="1">
        <v>45441</v>
      </c>
      <c r="B60" t="s">
        <v>15</v>
      </c>
      <c r="C60">
        <v>13</v>
      </c>
      <c r="D60">
        <v>297000</v>
      </c>
      <c r="E60" t="str">
        <f t="shared" si="0"/>
        <v>2024-05</v>
      </c>
      <c r="F60" t="str">
        <f t="shared" si="1"/>
        <v>Wed</v>
      </c>
    </row>
    <row r="61" spans="1:6" x14ac:dyDescent="0.3">
      <c r="A61" s="1">
        <v>45442</v>
      </c>
      <c r="B61" t="s">
        <v>15</v>
      </c>
      <c r="C61">
        <v>13</v>
      </c>
      <c r="D61">
        <v>284000</v>
      </c>
      <c r="E61" t="str">
        <f t="shared" si="0"/>
        <v>2024-05</v>
      </c>
      <c r="F61" t="str">
        <f t="shared" si="1"/>
        <v>Thu</v>
      </c>
    </row>
    <row r="62" spans="1:6" x14ac:dyDescent="0.3">
      <c r="A62" s="1">
        <v>45443</v>
      </c>
      <c r="B62" t="s">
        <v>15</v>
      </c>
      <c r="C62">
        <v>19</v>
      </c>
      <c r="D62">
        <v>330000</v>
      </c>
      <c r="E62" t="str">
        <f t="shared" si="0"/>
        <v>2024-05</v>
      </c>
      <c r="F62" t="str">
        <f t="shared" si="1"/>
        <v>Fri</v>
      </c>
    </row>
    <row r="63" spans="1:6" x14ac:dyDescent="0.3">
      <c r="A63" s="1">
        <v>45444</v>
      </c>
      <c r="B63" t="s">
        <v>15</v>
      </c>
      <c r="C63">
        <v>20</v>
      </c>
      <c r="D63">
        <v>419000</v>
      </c>
      <c r="E63" t="str">
        <f t="shared" si="0"/>
        <v>2024-06</v>
      </c>
      <c r="F63" t="str">
        <f t="shared" si="1"/>
        <v>Sat</v>
      </c>
    </row>
    <row r="64" spans="1:6" x14ac:dyDescent="0.3">
      <c r="A64" s="1">
        <v>45445</v>
      </c>
      <c r="B64" t="s">
        <v>15</v>
      </c>
      <c r="C64">
        <v>22</v>
      </c>
      <c r="D64">
        <v>422000</v>
      </c>
      <c r="E64" t="str">
        <f t="shared" si="0"/>
        <v>2024-06</v>
      </c>
      <c r="F64" t="str">
        <f t="shared" si="1"/>
        <v>Sun</v>
      </c>
    </row>
    <row r="65" spans="1:6" x14ac:dyDescent="0.3">
      <c r="A65" s="1">
        <v>45446</v>
      </c>
      <c r="B65" t="s">
        <v>15</v>
      </c>
      <c r="C65">
        <v>14</v>
      </c>
      <c r="D65">
        <v>313000</v>
      </c>
      <c r="E65" t="str">
        <f t="shared" si="0"/>
        <v>2024-06</v>
      </c>
      <c r="F65" t="str">
        <f t="shared" si="1"/>
        <v>Mon</v>
      </c>
    </row>
    <row r="66" spans="1:6" x14ac:dyDescent="0.3">
      <c r="A66" s="1">
        <v>45447</v>
      </c>
      <c r="B66" t="s">
        <v>15</v>
      </c>
      <c r="C66">
        <v>20</v>
      </c>
      <c r="D66">
        <v>339000</v>
      </c>
      <c r="E66" t="str">
        <f t="shared" ref="E66:E129" si="2">TEXT(A66,"yyyy-mm")</f>
        <v>2024-06</v>
      </c>
      <c r="F66" t="str">
        <f t="shared" ref="F66:F129" si="3">TEXT(A66,"ddd")</f>
        <v>Tue</v>
      </c>
    </row>
    <row r="67" spans="1:6" x14ac:dyDescent="0.3">
      <c r="A67" s="1">
        <v>45448</v>
      </c>
      <c r="B67" t="s">
        <v>15</v>
      </c>
      <c r="C67">
        <v>15</v>
      </c>
      <c r="D67">
        <v>286000</v>
      </c>
      <c r="E67" t="str">
        <f t="shared" si="2"/>
        <v>2024-06</v>
      </c>
      <c r="F67" t="str">
        <f t="shared" si="3"/>
        <v>Wed</v>
      </c>
    </row>
    <row r="68" spans="1:6" x14ac:dyDescent="0.3">
      <c r="A68" s="1">
        <v>45449</v>
      </c>
      <c r="B68" t="s">
        <v>15</v>
      </c>
      <c r="C68">
        <v>12</v>
      </c>
      <c r="D68">
        <v>273000</v>
      </c>
      <c r="E68" t="str">
        <f t="shared" si="2"/>
        <v>2024-06</v>
      </c>
      <c r="F68" t="str">
        <f t="shared" si="3"/>
        <v>Thu</v>
      </c>
    </row>
    <row r="69" spans="1:6" x14ac:dyDescent="0.3">
      <c r="A69" s="1">
        <v>45450</v>
      </c>
      <c r="B69" t="s">
        <v>15</v>
      </c>
      <c r="C69">
        <v>11</v>
      </c>
      <c r="D69">
        <v>246000</v>
      </c>
      <c r="E69" t="str">
        <f t="shared" si="2"/>
        <v>2024-06</v>
      </c>
      <c r="F69" t="str">
        <f t="shared" si="3"/>
        <v>Fri</v>
      </c>
    </row>
    <row r="70" spans="1:6" x14ac:dyDescent="0.3">
      <c r="A70" s="1">
        <v>45451</v>
      </c>
      <c r="B70" t="s">
        <v>15</v>
      </c>
      <c r="C70">
        <v>30</v>
      </c>
      <c r="D70">
        <v>501000</v>
      </c>
      <c r="E70" t="str">
        <f t="shared" si="2"/>
        <v>2024-06</v>
      </c>
      <c r="F70" t="str">
        <f t="shared" si="3"/>
        <v>Sat</v>
      </c>
    </row>
    <row r="71" spans="1:6" x14ac:dyDescent="0.3">
      <c r="A71" s="1">
        <v>45452</v>
      </c>
      <c r="B71" t="s">
        <v>15</v>
      </c>
      <c r="C71">
        <v>23</v>
      </c>
      <c r="D71">
        <v>454000</v>
      </c>
      <c r="E71" t="str">
        <f t="shared" si="2"/>
        <v>2024-06</v>
      </c>
      <c r="F71" t="str">
        <f t="shared" si="3"/>
        <v>Sun</v>
      </c>
    </row>
    <row r="72" spans="1:6" x14ac:dyDescent="0.3">
      <c r="A72" s="1">
        <v>45453</v>
      </c>
      <c r="B72" t="s">
        <v>15</v>
      </c>
      <c r="C72">
        <v>18</v>
      </c>
      <c r="D72">
        <v>381000</v>
      </c>
      <c r="E72" t="str">
        <f t="shared" si="2"/>
        <v>2024-06</v>
      </c>
      <c r="F72" t="str">
        <f t="shared" si="3"/>
        <v>Mon</v>
      </c>
    </row>
    <row r="73" spans="1:6" x14ac:dyDescent="0.3">
      <c r="A73" s="1">
        <v>45454</v>
      </c>
      <c r="B73" t="s">
        <v>15</v>
      </c>
      <c r="C73">
        <v>17</v>
      </c>
      <c r="D73">
        <v>333000</v>
      </c>
      <c r="E73" t="str">
        <f t="shared" si="2"/>
        <v>2024-06</v>
      </c>
      <c r="F73" t="str">
        <f t="shared" si="3"/>
        <v>Tue</v>
      </c>
    </row>
    <row r="74" spans="1:6" x14ac:dyDescent="0.3">
      <c r="A74" s="1">
        <v>45455</v>
      </c>
      <c r="B74" t="s">
        <v>15</v>
      </c>
      <c r="C74">
        <v>13</v>
      </c>
      <c r="D74">
        <v>311000</v>
      </c>
      <c r="E74" t="str">
        <f t="shared" si="2"/>
        <v>2024-06</v>
      </c>
      <c r="F74" t="str">
        <f t="shared" si="3"/>
        <v>Wed</v>
      </c>
    </row>
    <row r="75" spans="1:6" x14ac:dyDescent="0.3">
      <c r="A75" s="1">
        <v>45456</v>
      </c>
      <c r="B75" t="s">
        <v>15</v>
      </c>
      <c r="C75">
        <v>19</v>
      </c>
      <c r="D75">
        <v>354000</v>
      </c>
      <c r="E75" t="str">
        <f t="shared" si="2"/>
        <v>2024-06</v>
      </c>
      <c r="F75" t="str">
        <f t="shared" si="3"/>
        <v>Thu</v>
      </c>
    </row>
    <row r="76" spans="1:6" x14ac:dyDescent="0.3">
      <c r="A76" s="1">
        <v>45457</v>
      </c>
      <c r="B76" t="s">
        <v>15</v>
      </c>
      <c r="C76">
        <v>16</v>
      </c>
      <c r="D76">
        <v>337000</v>
      </c>
      <c r="E76" t="str">
        <f t="shared" si="2"/>
        <v>2024-06</v>
      </c>
      <c r="F76" t="str">
        <f t="shared" si="3"/>
        <v>Fri</v>
      </c>
    </row>
    <row r="77" spans="1:6" x14ac:dyDescent="0.3">
      <c r="A77" s="1">
        <v>45458</v>
      </c>
      <c r="B77" t="s">
        <v>15</v>
      </c>
      <c r="C77">
        <v>22</v>
      </c>
      <c r="D77">
        <v>409000</v>
      </c>
      <c r="E77" t="str">
        <f t="shared" si="2"/>
        <v>2024-06</v>
      </c>
      <c r="F77" t="str">
        <f t="shared" si="3"/>
        <v>Sat</v>
      </c>
    </row>
    <row r="78" spans="1:6" x14ac:dyDescent="0.3">
      <c r="A78" s="1">
        <v>45459</v>
      </c>
      <c r="B78" t="s">
        <v>15</v>
      </c>
      <c r="C78">
        <v>18</v>
      </c>
      <c r="D78">
        <v>429000</v>
      </c>
      <c r="E78" t="str">
        <f t="shared" si="2"/>
        <v>2024-06</v>
      </c>
      <c r="F78" t="str">
        <f t="shared" si="3"/>
        <v>Sun</v>
      </c>
    </row>
    <row r="79" spans="1:6" x14ac:dyDescent="0.3">
      <c r="A79" s="1">
        <v>45460</v>
      </c>
      <c r="B79" t="s">
        <v>15</v>
      </c>
      <c r="C79">
        <v>19</v>
      </c>
      <c r="D79">
        <v>407000</v>
      </c>
      <c r="E79" t="str">
        <f t="shared" si="2"/>
        <v>2024-06</v>
      </c>
      <c r="F79" t="str">
        <f t="shared" si="3"/>
        <v>Mon</v>
      </c>
    </row>
    <row r="80" spans="1:6" x14ac:dyDescent="0.3">
      <c r="A80" s="1">
        <v>45461</v>
      </c>
      <c r="B80" t="s">
        <v>15</v>
      </c>
      <c r="C80">
        <v>18</v>
      </c>
      <c r="D80">
        <v>361000</v>
      </c>
      <c r="E80" t="str">
        <f t="shared" si="2"/>
        <v>2024-06</v>
      </c>
      <c r="F80" t="str">
        <f t="shared" si="3"/>
        <v>Tue</v>
      </c>
    </row>
    <row r="81" spans="1:6" x14ac:dyDescent="0.3">
      <c r="A81" s="1">
        <v>45462</v>
      </c>
      <c r="B81" t="s">
        <v>15</v>
      </c>
      <c r="C81">
        <v>21</v>
      </c>
      <c r="D81">
        <v>365000</v>
      </c>
      <c r="E81" t="str">
        <f t="shared" si="2"/>
        <v>2024-06</v>
      </c>
      <c r="F81" t="str">
        <f t="shared" si="3"/>
        <v>Wed</v>
      </c>
    </row>
    <row r="82" spans="1:6" x14ac:dyDescent="0.3">
      <c r="A82" s="1">
        <v>45463</v>
      </c>
      <c r="B82" t="s">
        <v>15</v>
      </c>
      <c r="C82">
        <v>14</v>
      </c>
      <c r="D82">
        <v>343000</v>
      </c>
      <c r="E82" t="str">
        <f t="shared" si="2"/>
        <v>2024-06</v>
      </c>
      <c r="F82" t="str">
        <f t="shared" si="3"/>
        <v>Thu</v>
      </c>
    </row>
    <row r="83" spans="1:6" x14ac:dyDescent="0.3">
      <c r="A83" s="1">
        <v>45464</v>
      </c>
      <c r="B83" t="s">
        <v>15</v>
      </c>
      <c r="C83">
        <v>15</v>
      </c>
      <c r="D83">
        <v>330000</v>
      </c>
      <c r="E83" t="str">
        <f t="shared" si="2"/>
        <v>2024-06</v>
      </c>
      <c r="F83" t="str">
        <f t="shared" si="3"/>
        <v>Fri</v>
      </c>
    </row>
    <row r="84" spans="1:6" x14ac:dyDescent="0.3">
      <c r="A84" s="1">
        <v>45465</v>
      </c>
      <c r="B84" t="s">
        <v>15</v>
      </c>
      <c r="C84">
        <v>24</v>
      </c>
      <c r="D84">
        <v>532000</v>
      </c>
      <c r="E84" t="str">
        <f t="shared" si="2"/>
        <v>2024-06</v>
      </c>
      <c r="F84" t="str">
        <f t="shared" si="3"/>
        <v>Sat</v>
      </c>
    </row>
    <row r="85" spans="1:6" x14ac:dyDescent="0.3">
      <c r="A85" s="1">
        <v>45466</v>
      </c>
      <c r="B85" t="s">
        <v>15</v>
      </c>
      <c r="C85">
        <v>21</v>
      </c>
      <c r="D85">
        <v>486000</v>
      </c>
      <c r="E85" t="str">
        <f t="shared" si="2"/>
        <v>2024-06</v>
      </c>
      <c r="F85" t="str">
        <f t="shared" si="3"/>
        <v>Sun</v>
      </c>
    </row>
    <row r="86" spans="1:6" x14ac:dyDescent="0.3">
      <c r="A86" s="1">
        <v>45467</v>
      </c>
      <c r="B86" t="s">
        <v>15</v>
      </c>
      <c r="C86">
        <v>15</v>
      </c>
      <c r="D86">
        <v>334000</v>
      </c>
      <c r="E86" t="str">
        <f t="shared" si="2"/>
        <v>2024-06</v>
      </c>
      <c r="F86" t="str">
        <f t="shared" si="3"/>
        <v>Mon</v>
      </c>
    </row>
    <row r="87" spans="1:6" x14ac:dyDescent="0.3">
      <c r="A87" s="1">
        <v>45468</v>
      </c>
      <c r="B87" t="s">
        <v>15</v>
      </c>
      <c r="C87">
        <v>18</v>
      </c>
      <c r="D87">
        <v>359000</v>
      </c>
      <c r="E87" t="str">
        <f t="shared" si="2"/>
        <v>2024-06</v>
      </c>
      <c r="F87" t="str">
        <f t="shared" si="3"/>
        <v>Tue</v>
      </c>
    </row>
    <row r="88" spans="1:6" x14ac:dyDescent="0.3">
      <c r="A88" s="1">
        <v>45469</v>
      </c>
      <c r="B88" t="s">
        <v>15</v>
      </c>
      <c r="C88">
        <v>17</v>
      </c>
      <c r="D88">
        <v>332000</v>
      </c>
      <c r="E88" t="str">
        <f t="shared" si="2"/>
        <v>2024-06</v>
      </c>
      <c r="F88" t="str">
        <f t="shared" si="3"/>
        <v>Wed</v>
      </c>
    </row>
    <row r="89" spans="1:6" x14ac:dyDescent="0.3">
      <c r="A89" s="1">
        <v>45470</v>
      </c>
      <c r="B89" t="s">
        <v>15</v>
      </c>
      <c r="C89">
        <v>19</v>
      </c>
      <c r="D89">
        <v>375000</v>
      </c>
      <c r="E89" t="str">
        <f t="shared" si="2"/>
        <v>2024-06</v>
      </c>
      <c r="F89" t="str">
        <f t="shared" si="3"/>
        <v>Thu</v>
      </c>
    </row>
    <row r="90" spans="1:6" x14ac:dyDescent="0.3">
      <c r="A90" s="1">
        <v>45471</v>
      </c>
      <c r="B90" t="s">
        <v>15</v>
      </c>
      <c r="C90">
        <v>17</v>
      </c>
      <c r="D90">
        <v>412000</v>
      </c>
      <c r="E90" t="str">
        <f t="shared" si="2"/>
        <v>2024-06</v>
      </c>
      <c r="F90" t="str">
        <f t="shared" si="3"/>
        <v>Fri</v>
      </c>
    </row>
    <row r="91" spans="1:6" x14ac:dyDescent="0.3">
      <c r="A91" s="1">
        <v>45472</v>
      </c>
      <c r="B91" t="s">
        <v>15</v>
      </c>
      <c r="C91">
        <v>26</v>
      </c>
      <c r="D91">
        <v>467000</v>
      </c>
      <c r="E91" t="str">
        <f t="shared" si="2"/>
        <v>2024-06</v>
      </c>
      <c r="F91" t="str">
        <f t="shared" si="3"/>
        <v>Sat</v>
      </c>
    </row>
    <row r="92" spans="1:6" x14ac:dyDescent="0.3">
      <c r="A92" s="1">
        <v>45473</v>
      </c>
      <c r="B92" t="s">
        <v>15</v>
      </c>
      <c r="C92">
        <v>30</v>
      </c>
      <c r="D92">
        <v>585000</v>
      </c>
      <c r="E92" t="str">
        <f t="shared" si="2"/>
        <v>2024-06</v>
      </c>
      <c r="F92" t="str">
        <f t="shared" si="3"/>
        <v>Sun</v>
      </c>
    </row>
    <row r="93" spans="1:6" x14ac:dyDescent="0.3">
      <c r="A93" s="1">
        <v>45474</v>
      </c>
      <c r="B93" t="s">
        <v>15</v>
      </c>
      <c r="C93">
        <v>9</v>
      </c>
      <c r="D93">
        <v>193000</v>
      </c>
      <c r="E93" t="str">
        <f t="shared" si="2"/>
        <v>2024-07</v>
      </c>
      <c r="F93" t="str">
        <f t="shared" si="3"/>
        <v>Mon</v>
      </c>
    </row>
    <row r="94" spans="1:6" x14ac:dyDescent="0.3">
      <c r="A94" s="1">
        <v>45475</v>
      </c>
      <c r="B94" t="s">
        <v>15</v>
      </c>
      <c r="C94">
        <v>10</v>
      </c>
      <c r="D94">
        <v>211000</v>
      </c>
      <c r="E94" t="str">
        <f t="shared" si="2"/>
        <v>2024-07</v>
      </c>
      <c r="F94" t="str">
        <f t="shared" si="3"/>
        <v>Tue</v>
      </c>
    </row>
    <row r="95" spans="1:6" x14ac:dyDescent="0.3">
      <c r="A95" s="1">
        <v>45476</v>
      </c>
      <c r="B95" t="s">
        <v>15</v>
      </c>
      <c r="C95">
        <v>9</v>
      </c>
      <c r="D95">
        <v>192000</v>
      </c>
      <c r="E95" t="str">
        <f t="shared" si="2"/>
        <v>2024-07</v>
      </c>
      <c r="F95" t="str">
        <f t="shared" si="3"/>
        <v>Wed</v>
      </c>
    </row>
    <row r="96" spans="1:6" x14ac:dyDescent="0.3">
      <c r="A96" s="1">
        <v>45477</v>
      </c>
      <c r="B96" t="s">
        <v>15</v>
      </c>
      <c r="C96">
        <v>11</v>
      </c>
      <c r="D96">
        <v>206000</v>
      </c>
      <c r="E96" t="str">
        <f t="shared" si="2"/>
        <v>2024-07</v>
      </c>
      <c r="F96" t="str">
        <f t="shared" si="3"/>
        <v>Thu</v>
      </c>
    </row>
    <row r="97" spans="1:6" x14ac:dyDescent="0.3">
      <c r="A97" s="1">
        <v>45478</v>
      </c>
      <c r="B97" t="s">
        <v>15</v>
      </c>
      <c r="C97">
        <v>12</v>
      </c>
      <c r="D97">
        <v>213000</v>
      </c>
      <c r="E97" t="str">
        <f t="shared" si="2"/>
        <v>2024-07</v>
      </c>
      <c r="F97" t="str">
        <f t="shared" si="3"/>
        <v>Fri</v>
      </c>
    </row>
    <row r="98" spans="1:6" x14ac:dyDescent="0.3">
      <c r="A98" s="1">
        <v>45479</v>
      </c>
      <c r="B98" t="s">
        <v>15</v>
      </c>
      <c r="C98">
        <v>13</v>
      </c>
      <c r="D98">
        <v>279000</v>
      </c>
      <c r="E98" t="str">
        <f t="shared" si="2"/>
        <v>2024-07</v>
      </c>
      <c r="F98" t="str">
        <f t="shared" si="3"/>
        <v>Sat</v>
      </c>
    </row>
    <row r="99" spans="1:6" x14ac:dyDescent="0.3">
      <c r="A99" s="1">
        <v>45480</v>
      </c>
      <c r="B99" t="s">
        <v>15</v>
      </c>
      <c r="C99">
        <v>12</v>
      </c>
      <c r="D99">
        <v>273000</v>
      </c>
      <c r="E99" t="str">
        <f t="shared" si="2"/>
        <v>2024-07</v>
      </c>
      <c r="F99" t="str">
        <f t="shared" si="3"/>
        <v>Sun</v>
      </c>
    </row>
    <row r="100" spans="1:6" x14ac:dyDescent="0.3">
      <c r="A100" s="1">
        <v>45481</v>
      </c>
      <c r="B100" t="s">
        <v>15</v>
      </c>
      <c r="C100">
        <v>9</v>
      </c>
      <c r="D100">
        <v>201000</v>
      </c>
      <c r="E100" t="str">
        <f t="shared" si="2"/>
        <v>2024-07</v>
      </c>
      <c r="F100" t="str">
        <f t="shared" si="3"/>
        <v>Mon</v>
      </c>
    </row>
    <row r="101" spans="1:6" x14ac:dyDescent="0.3">
      <c r="A101" s="1">
        <v>45482</v>
      </c>
      <c r="B101" t="s">
        <v>15</v>
      </c>
      <c r="C101">
        <v>9</v>
      </c>
      <c r="D101">
        <v>199000</v>
      </c>
      <c r="E101" t="str">
        <f t="shared" si="2"/>
        <v>2024-07</v>
      </c>
      <c r="F101" t="str">
        <f t="shared" si="3"/>
        <v>Tue</v>
      </c>
    </row>
    <row r="102" spans="1:6" x14ac:dyDescent="0.3">
      <c r="A102" s="1">
        <v>45483</v>
      </c>
      <c r="B102" t="s">
        <v>15</v>
      </c>
      <c r="C102">
        <v>9</v>
      </c>
      <c r="D102">
        <v>184000</v>
      </c>
      <c r="E102" t="str">
        <f t="shared" si="2"/>
        <v>2024-07</v>
      </c>
      <c r="F102" t="str">
        <f t="shared" si="3"/>
        <v>Wed</v>
      </c>
    </row>
    <row r="103" spans="1:6" x14ac:dyDescent="0.3">
      <c r="A103" s="1">
        <v>45484</v>
      </c>
      <c r="B103" t="s">
        <v>15</v>
      </c>
      <c r="C103">
        <v>10</v>
      </c>
      <c r="D103">
        <v>213000</v>
      </c>
      <c r="E103" t="str">
        <f t="shared" si="2"/>
        <v>2024-07</v>
      </c>
      <c r="F103" t="str">
        <f t="shared" si="3"/>
        <v>Thu</v>
      </c>
    </row>
    <row r="104" spans="1:6" x14ac:dyDescent="0.3">
      <c r="A104" s="1">
        <v>45485</v>
      </c>
      <c r="B104" t="s">
        <v>15</v>
      </c>
      <c r="C104">
        <v>11</v>
      </c>
      <c r="D104">
        <v>229000</v>
      </c>
      <c r="E104" t="str">
        <f t="shared" si="2"/>
        <v>2024-07</v>
      </c>
      <c r="F104" t="str">
        <f t="shared" si="3"/>
        <v>Fri</v>
      </c>
    </row>
    <row r="105" spans="1:6" x14ac:dyDescent="0.3">
      <c r="A105" s="1">
        <v>45486</v>
      </c>
      <c r="B105" t="s">
        <v>15</v>
      </c>
      <c r="C105">
        <v>15</v>
      </c>
      <c r="D105">
        <v>331000</v>
      </c>
      <c r="E105" t="str">
        <f t="shared" si="2"/>
        <v>2024-07</v>
      </c>
      <c r="F105" t="str">
        <f t="shared" si="3"/>
        <v>Sat</v>
      </c>
    </row>
    <row r="106" spans="1:6" x14ac:dyDescent="0.3">
      <c r="A106" s="1">
        <v>45487</v>
      </c>
      <c r="B106" t="s">
        <v>15</v>
      </c>
      <c r="C106">
        <v>17</v>
      </c>
      <c r="D106">
        <v>324000</v>
      </c>
      <c r="E106" t="str">
        <f t="shared" si="2"/>
        <v>2024-07</v>
      </c>
      <c r="F106" t="str">
        <f t="shared" si="3"/>
        <v>Sun</v>
      </c>
    </row>
    <row r="107" spans="1:6" x14ac:dyDescent="0.3">
      <c r="A107" s="1">
        <v>45488</v>
      </c>
      <c r="B107" t="s">
        <v>15</v>
      </c>
      <c r="C107">
        <v>13</v>
      </c>
      <c r="D107">
        <v>279000</v>
      </c>
      <c r="E107" t="str">
        <f t="shared" si="2"/>
        <v>2024-07</v>
      </c>
      <c r="F107" t="str">
        <f t="shared" si="3"/>
        <v>Mon</v>
      </c>
    </row>
    <row r="108" spans="1:6" x14ac:dyDescent="0.3">
      <c r="A108" s="1">
        <v>45489</v>
      </c>
      <c r="B108" t="s">
        <v>15</v>
      </c>
      <c r="C108">
        <v>11</v>
      </c>
      <c r="D108">
        <v>232000</v>
      </c>
      <c r="E108" t="str">
        <f t="shared" si="2"/>
        <v>2024-07</v>
      </c>
      <c r="F108" t="str">
        <f t="shared" si="3"/>
        <v>Tue</v>
      </c>
    </row>
    <row r="109" spans="1:6" x14ac:dyDescent="0.3">
      <c r="A109" s="1">
        <v>45490</v>
      </c>
      <c r="B109" t="s">
        <v>15</v>
      </c>
      <c r="C109">
        <v>10</v>
      </c>
      <c r="D109">
        <v>216000</v>
      </c>
      <c r="E109" t="str">
        <f t="shared" si="2"/>
        <v>2024-07</v>
      </c>
      <c r="F109" t="str">
        <f t="shared" si="3"/>
        <v>Wed</v>
      </c>
    </row>
    <row r="110" spans="1:6" x14ac:dyDescent="0.3">
      <c r="A110" s="1">
        <v>45491</v>
      </c>
      <c r="B110" t="s">
        <v>15</v>
      </c>
      <c r="C110">
        <v>13</v>
      </c>
      <c r="D110">
        <v>270000</v>
      </c>
      <c r="E110" t="str">
        <f t="shared" si="2"/>
        <v>2024-07</v>
      </c>
      <c r="F110" t="str">
        <f t="shared" si="3"/>
        <v>Thu</v>
      </c>
    </row>
    <row r="111" spans="1:6" x14ac:dyDescent="0.3">
      <c r="A111" s="1">
        <v>45492</v>
      </c>
      <c r="B111" t="s">
        <v>15</v>
      </c>
      <c r="C111">
        <v>8</v>
      </c>
      <c r="D111">
        <v>205000</v>
      </c>
      <c r="E111" t="str">
        <f t="shared" si="2"/>
        <v>2024-07</v>
      </c>
      <c r="F111" t="str">
        <f t="shared" si="3"/>
        <v>Fri</v>
      </c>
    </row>
    <row r="112" spans="1:6" x14ac:dyDescent="0.3">
      <c r="A112" s="1">
        <v>45493</v>
      </c>
      <c r="B112" t="s">
        <v>15</v>
      </c>
      <c r="C112">
        <v>14</v>
      </c>
      <c r="D112">
        <v>345000</v>
      </c>
      <c r="E112" t="str">
        <f t="shared" si="2"/>
        <v>2024-07</v>
      </c>
      <c r="F112" t="str">
        <f t="shared" si="3"/>
        <v>Sat</v>
      </c>
    </row>
    <row r="113" spans="1:6" x14ac:dyDescent="0.3">
      <c r="A113" s="1">
        <v>45494</v>
      </c>
      <c r="B113" t="s">
        <v>15</v>
      </c>
      <c r="C113">
        <v>12</v>
      </c>
      <c r="D113">
        <v>286000</v>
      </c>
      <c r="E113" t="str">
        <f t="shared" si="2"/>
        <v>2024-07</v>
      </c>
      <c r="F113" t="str">
        <f t="shared" si="3"/>
        <v>Sun</v>
      </c>
    </row>
    <row r="114" spans="1:6" x14ac:dyDescent="0.3">
      <c r="A114" s="1">
        <v>45495</v>
      </c>
      <c r="B114" t="s">
        <v>15</v>
      </c>
      <c r="C114">
        <v>14</v>
      </c>
      <c r="D114">
        <v>241000</v>
      </c>
      <c r="E114" t="str">
        <f t="shared" si="2"/>
        <v>2024-07</v>
      </c>
      <c r="F114" t="str">
        <f t="shared" si="3"/>
        <v>Mon</v>
      </c>
    </row>
    <row r="115" spans="1:6" x14ac:dyDescent="0.3">
      <c r="A115" s="1">
        <v>45496</v>
      </c>
      <c r="B115" t="s">
        <v>15</v>
      </c>
      <c r="C115">
        <v>9</v>
      </c>
      <c r="D115">
        <v>188000</v>
      </c>
      <c r="E115" t="str">
        <f t="shared" si="2"/>
        <v>2024-07</v>
      </c>
      <c r="F115" t="str">
        <f t="shared" si="3"/>
        <v>Tue</v>
      </c>
    </row>
    <row r="116" spans="1:6" x14ac:dyDescent="0.3">
      <c r="A116" s="1">
        <v>45497</v>
      </c>
      <c r="B116" t="s">
        <v>15</v>
      </c>
      <c r="C116">
        <v>13</v>
      </c>
      <c r="D116">
        <v>256000</v>
      </c>
      <c r="E116" t="str">
        <f t="shared" si="2"/>
        <v>2024-07</v>
      </c>
      <c r="F116" t="str">
        <f t="shared" si="3"/>
        <v>Wed</v>
      </c>
    </row>
    <row r="117" spans="1:6" x14ac:dyDescent="0.3">
      <c r="A117" s="1">
        <v>45498</v>
      </c>
      <c r="B117" t="s">
        <v>15</v>
      </c>
      <c r="C117">
        <v>11</v>
      </c>
      <c r="D117">
        <v>232000</v>
      </c>
      <c r="E117" t="str">
        <f t="shared" si="2"/>
        <v>2024-07</v>
      </c>
      <c r="F117" t="str">
        <f t="shared" si="3"/>
        <v>Thu</v>
      </c>
    </row>
    <row r="118" spans="1:6" x14ac:dyDescent="0.3">
      <c r="A118" s="1">
        <v>45499</v>
      </c>
      <c r="B118" t="s">
        <v>15</v>
      </c>
      <c r="C118">
        <v>13</v>
      </c>
      <c r="D118">
        <v>214000</v>
      </c>
      <c r="E118" t="str">
        <f t="shared" si="2"/>
        <v>2024-07</v>
      </c>
      <c r="F118" t="str">
        <f t="shared" si="3"/>
        <v>Fri</v>
      </c>
    </row>
    <row r="119" spans="1:6" x14ac:dyDescent="0.3">
      <c r="A119" s="1">
        <v>45500</v>
      </c>
      <c r="B119" t="s">
        <v>15</v>
      </c>
      <c r="C119">
        <v>16</v>
      </c>
      <c r="D119">
        <v>381000</v>
      </c>
      <c r="E119" t="str">
        <f t="shared" si="2"/>
        <v>2024-07</v>
      </c>
      <c r="F119" t="str">
        <f t="shared" si="3"/>
        <v>Sat</v>
      </c>
    </row>
    <row r="120" spans="1:6" x14ac:dyDescent="0.3">
      <c r="A120" s="1">
        <v>45501</v>
      </c>
      <c r="B120" t="s">
        <v>15</v>
      </c>
      <c r="C120">
        <v>15</v>
      </c>
      <c r="D120">
        <v>353000</v>
      </c>
      <c r="E120" t="str">
        <f t="shared" si="2"/>
        <v>2024-07</v>
      </c>
      <c r="F120" t="str">
        <f t="shared" si="3"/>
        <v>Sun</v>
      </c>
    </row>
    <row r="121" spans="1:6" x14ac:dyDescent="0.3">
      <c r="A121" s="1">
        <v>45502</v>
      </c>
      <c r="B121" t="s">
        <v>15</v>
      </c>
      <c r="C121">
        <v>13</v>
      </c>
      <c r="D121">
        <v>242000</v>
      </c>
      <c r="E121" t="str">
        <f t="shared" si="2"/>
        <v>2024-07</v>
      </c>
      <c r="F121" t="str">
        <f t="shared" si="3"/>
        <v>Mon</v>
      </c>
    </row>
    <row r="122" spans="1:6" x14ac:dyDescent="0.3">
      <c r="A122" s="1">
        <v>45503</v>
      </c>
      <c r="B122" t="s">
        <v>15</v>
      </c>
      <c r="C122">
        <v>12</v>
      </c>
      <c r="D122">
        <v>224000</v>
      </c>
      <c r="E122" t="str">
        <f t="shared" si="2"/>
        <v>2024-07</v>
      </c>
      <c r="F122" t="str">
        <f t="shared" si="3"/>
        <v>Tue</v>
      </c>
    </row>
    <row r="123" spans="1:6" x14ac:dyDescent="0.3">
      <c r="A123" s="1">
        <v>45504</v>
      </c>
      <c r="B123" t="s">
        <v>15</v>
      </c>
      <c r="C123">
        <v>12</v>
      </c>
      <c r="D123">
        <v>242000</v>
      </c>
      <c r="E123" t="str">
        <f t="shared" si="2"/>
        <v>2024-07</v>
      </c>
      <c r="F123" t="str">
        <f t="shared" si="3"/>
        <v>Wed</v>
      </c>
    </row>
    <row r="124" spans="1:6" x14ac:dyDescent="0.3">
      <c r="A124" s="1">
        <v>45505</v>
      </c>
      <c r="B124" t="s">
        <v>15</v>
      </c>
      <c r="C124">
        <v>21</v>
      </c>
      <c r="D124">
        <v>437000</v>
      </c>
      <c r="E124" t="str">
        <f t="shared" si="2"/>
        <v>2024-08</v>
      </c>
      <c r="F124" t="str">
        <f t="shared" si="3"/>
        <v>Thu</v>
      </c>
    </row>
    <row r="125" spans="1:6" x14ac:dyDescent="0.3">
      <c r="A125" s="1">
        <v>45506</v>
      </c>
      <c r="B125" t="s">
        <v>15</v>
      </c>
      <c r="C125">
        <v>22</v>
      </c>
      <c r="D125">
        <v>479000</v>
      </c>
      <c r="E125" t="str">
        <f t="shared" si="2"/>
        <v>2024-08</v>
      </c>
      <c r="F125" t="str">
        <f t="shared" si="3"/>
        <v>Fri</v>
      </c>
    </row>
    <row r="126" spans="1:6" x14ac:dyDescent="0.3">
      <c r="A126" s="1">
        <v>45507</v>
      </c>
      <c r="B126" t="s">
        <v>15</v>
      </c>
      <c r="C126">
        <v>26</v>
      </c>
      <c r="D126">
        <v>664000</v>
      </c>
      <c r="E126" t="str">
        <f t="shared" si="2"/>
        <v>2024-08</v>
      </c>
      <c r="F126" t="str">
        <f t="shared" si="3"/>
        <v>Sat</v>
      </c>
    </row>
    <row r="127" spans="1:6" x14ac:dyDescent="0.3">
      <c r="A127" s="1">
        <v>45508</v>
      </c>
      <c r="B127" t="s">
        <v>15</v>
      </c>
      <c r="C127">
        <v>28</v>
      </c>
      <c r="D127">
        <v>576000</v>
      </c>
      <c r="E127" t="str">
        <f t="shared" si="2"/>
        <v>2024-08</v>
      </c>
      <c r="F127" t="str">
        <f t="shared" si="3"/>
        <v>Sun</v>
      </c>
    </row>
    <row r="128" spans="1:6" x14ac:dyDescent="0.3">
      <c r="A128" s="1">
        <v>45509</v>
      </c>
      <c r="B128" t="s">
        <v>15</v>
      </c>
      <c r="C128">
        <v>19</v>
      </c>
      <c r="D128">
        <v>429000</v>
      </c>
      <c r="E128" t="str">
        <f t="shared" si="2"/>
        <v>2024-08</v>
      </c>
      <c r="F128" t="str">
        <f t="shared" si="3"/>
        <v>Mon</v>
      </c>
    </row>
    <row r="129" spans="1:6" x14ac:dyDescent="0.3">
      <c r="A129" s="1">
        <v>45510</v>
      </c>
      <c r="B129" t="s">
        <v>15</v>
      </c>
      <c r="C129">
        <v>20</v>
      </c>
      <c r="D129">
        <v>432000</v>
      </c>
      <c r="E129" t="str">
        <f t="shared" si="2"/>
        <v>2024-08</v>
      </c>
      <c r="F129" t="str">
        <f t="shared" si="3"/>
        <v>Tue</v>
      </c>
    </row>
    <row r="130" spans="1:6" x14ac:dyDescent="0.3">
      <c r="A130" s="1">
        <v>45511</v>
      </c>
      <c r="B130" t="s">
        <v>15</v>
      </c>
      <c r="C130">
        <v>16</v>
      </c>
      <c r="D130">
        <v>396000</v>
      </c>
      <c r="E130" t="str">
        <f t="shared" ref="E130:E193" si="4">TEXT(A130,"yyyy-mm")</f>
        <v>2024-08</v>
      </c>
      <c r="F130" t="str">
        <f t="shared" ref="F130:F193" si="5">TEXT(A130,"ddd")</f>
        <v>Wed</v>
      </c>
    </row>
    <row r="131" spans="1:6" x14ac:dyDescent="0.3">
      <c r="A131" s="1">
        <v>45512</v>
      </c>
      <c r="B131" t="s">
        <v>15</v>
      </c>
      <c r="C131">
        <v>19</v>
      </c>
      <c r="D131">
        <v>433000</v>
      </c>
      <c r="E131" t="str">
        <f t="shared" si="4"/>
        <v>2024-08</v>
      </c>
      <c r="F131" t="str">
        <f t="shared" si="5"/>
        <v>Thu</v>
      </c>
    </row>
    <row r="132" spans="1:6" x14ac:dyDescent="0.3">
      <c r="A132" s="1">
        <v>45513</v>
      </c>
      <c r="B132" t="s">
        <v>15</v>
      </c>
      <c r="C132">
        <v>19</v>
      </c>
      <c r="D132">
        <v>458000</v>
      </c>
      <c r="E132" t="str">
        <f t="shared" si="4"/>
        <v>2024-08</v>
      </c>
      <c r="F132" t="str">
        <f t="shared" si="5"/>
        <v>Fri</v>
      </c>
    </row>
    <row r="133" spans="1:6" x14ac:dyDescent="0.3">
      <c r="A133" s="1">
        <v>45514</v>
      </c>
      <c r="B133" t="s">
        <v>15</v>
      </c>
      <c r="C133">
        <v>36</v>
      </c>
      <c r="D133">
        <v>680000</v>
      </c>
      <c r="E133" t="str">
        <f t="shared" si="4"/>
        <v>2024-08</v>
      </c>
      <c r="F133" t="str">
        <f t="shared" si="5"/>
        <v>Sat</v>
      </c>
    </row>
    <row r="134" spans="1:6" x14ac:dyDescent="0.3">
      <c r="A134" s="1">
        <v>45515</v>
      </c>
      <c r="B134" t="s">
        <v>15</v>
      </c>
      <c r="C134">
        <v>35</v>
      </c>
      <c r="D134">
        <v>723000</v>
      </c>
      <c r="E134" t="str">
        <f t="shared" si="4"/>
        <v>2024-08</v>
      </c>
      <c r="F134" t="str">
        <f t="shared" si="5"/>
        <v>Sun</v>
      </c>
    </row>
    <row r="135" spans="1:6" x14ac:dyDescent="0.3">
      <c r="A135" s="1">
        <v>45516</v>
      </c>
      <c r="B135" t="s">
        <v>15</v>
      </c>
      <c r="C135">
        <v>22</v>
      </c>
      <c r="D135">
        <v>431000</v>
      </c>
      <c r="E135" t="str">
        <f t="shared" si="4"/>
        <v>2024-08</v>
      </c>
      <c r="F135" t="str">
        <f t="shared" si="5"/>
        <v>Mon</v>
      </c>
    </row>
    <row r="136" spans="1:6" x14ac:dyDescent="0.3">
      <c r="A136" s="1">
        <v>45517</v>
      </c>
      <c r="B136" t="s">
        <v>15</v>
      </c>
      <c r="C136">
        <v>21</v>
      </c>
      <c r="D136">
        <v>497000</v>
      </c>
      <c r="E136" t="str">
        <f t="shared" si="4"/>
        <v>2024-08</v>
      </c>
      <c r="F136" t="str">
        <f t="shared" si="5"/>
        <v>Tue</v>
      </c>
    </row>
    <row r="137" spans="1:6" x14ac:dyDescent="0.3">
      <c r="A137" s="1">
        <v>45518</v>
      </c>
      <c r="B137" t="s">
        <v>15</v>
      </c>
      <c r="C137">
        <v>20</v>
      </c>
      <c r="D137">
        <v>453000</v>
      </c>
      <c r="E137" t="str">
        <f t="shared" si="4"/>
        <v>2024-08</v>
      </c>
      <c r="F137" t="str">
        <f t="shared" si="5"/>
        <v>Wed</v>
      </c>
    </row>
    <row r="138" spans="1:6" x14ac:dyDescent="0.3">
      <c r="A138" s="1">
        <v>45519</v>
      </c>
      <c r="B138" t="s">
        <v>15</v>
      </c>
      <c r="C138">
        <v>28</v>
      </c>
      <c r="D138">
        <v>575000</v>
      </c>
      <c r="E138" t="str">
        <f t="shared" si="4"/>
        <v>2024-08</v>
      </c>
      <c r="F138" t="str">
        <f t="shared" si="5"/>
        <v>Thu</v>
      </c>
    </row>
    <row r="139" spans="1:6" x14ac:dyDescent="0.3">
      <c r="A139" s="1">
        <v>45520</v>
      </c>
      <c r="B139" t="s">
        <v>15</v>
      </c>
      <c r="C139">
        <v>24</v>
      </c>
      <c r="D139">
        <v>476000</v>
      </c>
      <c r="E139" t="str">
        <f t="shared" si="4"/>
        <v>2024-08</v>
      </c>
      <c r="F139" t="str">
        <f t="shared" si="5"/>
        <v>Fri</v>
      </c>
    </row>
    <row r="140" spans="1:6" x14ac:dyDescent="0.3">
      <c r="A140" s="1">
        <v>45521</v>
      </c>
      <c r="B140" t="s">
        <v>15</v>
      </c>
      <c r="C140">
        <v>31</v>
      </c>
      <c r="D140">
        <v>691000</v>
      </c>
      <c r="E140" t="str">
        <f t="shared" si="4"/>
        <v>2024-08</v>
      </c>
      <c r="F140" t="str">
        <f t="shared" si="5"/>
        <v>Sat</v>
      </c>
    </row>
    <row r="141" spans="1:6" x14ac:dyDescent="0.3">
      <c r="A141" s="1">
        <v>45522</v>
      </c>
      <c r="B141" t="s">
        <v>15</v>
      </c>
      <c r="C141">
        <v>31</v>
      </c>
      <c r="D141">
        <v>599000</v>
      </c>
      <c r="E141" t="str">
        <f t="shared" si="4"/>
        <v>2024-08</v>
      </c>
      <c r="F141" t="str">
        <f t="shared" si="5"/>
        <v>Sun</v>
      </c>
    </row>
    <row r="142" spans="1:6" x14ac:dyDescent="0.3">
      <c r="A142" s="1">
        <v>45523</v>
      </c>
      <c r="B142" t="s">
        <v>15</v>
      </c>
      <c r="C142">
        <v>23</v>
      </c>
      <c r="D142">
        <v>446000</v>
      </c>
      <c r="E142" t="str">
        <f t="shared" si="4"/>
        <v>2024-08</v>
      </c>
      <c r="F142" t="str">
        <f t="shared" si="5"/>
        <v>Mon</v>
      </c>
    </row>
    <row r="143" spans="1:6" x14ac:dyDescent="0.3">
      <c r="A143" s="1">
        <v>45524</v>
      </c>
      <c r="B143" t="s">
        <v>15</v>
      </c>
      <c r="C143">
        <v>23</v>
      </c>
      <c r="D143">
        <v>497000</v>
      </c>
      <c r="E143" t="str">
        <f t="shared" si="4"/>
        <v>2024-08</v>
      </c>
      <c r="F143" t="str">
        <f t="shared" si="5"/>
        <v>Tue</v>
      </c>
    </row>
    <row r="144" spans="1:6" x14ac:dyDescent="0.3">
      <c r="A144" s="1">
        <v>45525</v>
      </c>
      <c r="B144" t="s">
        <v>15</v>
      </c>
      <c r="C144">
        <v>18</v>
      </c>
      <c r="D144">
        <v>471000</v>
      </c>
      <c r="E144" t="str">
        <f t="shared" si="4"/>
        <v>2024-08</v>
      </c>
      <c r="F144" t="str">
        <f t="shared" si="5"/>
        <v>Wed</v>
      </c>
    </row>
    <row r="145" spans="1:6" x14ac:dyDescent="0.3">
      <c r="A145" s="1">
        <v>45526</v>
      </c>
      <c r="B145" t="s">
        <v>15</v>
      </c>
      <c r="C145">
        <v>25</v>
      </c>
      <c r="D145">
        <v>509000</v>
      </c>
      <c r="E145" t="str">
        <f t="shared" si="4"/>
        <v>2024-08</v>
      </c>
      <c r="F145" t="str">
        <f t="shared" si="5"/>
        <v>Thu</v>
      </c>
    </row>
    <row r="146" spans="1:6" x14ac:dyDescent="0.3">
      <c r="A146" s="1">
        <v>45527</v>
      </c>
      <c r="B146" t="s">
        <v>15</v>
      </c>
      <c r="C146">
        <v>21</v>
      </c>
      <c r="D146">
        <v>417000</v>
      </c>
      <c r="E146" t="str">
        <f t="shared" si="4"/>
        <v>2024-08</v>
      </c>
      <c r="F146" t="str">
        <f t="shared" si="5"/>
        <v>Fri</v>
      </c>
    </row>
    <row r="147" spans="1:6" x14ac:dyDescent="0.3">
      <c r="A147" s="1">
        <v>45528</v>
      </c>
      <c r="B147" t="s">
        <v>15</v>
      </c>
      <c r="C147">
        <v>39</v>
      </c>
      <c r="D147">
        <v>724000</v>
      </c>
      <c r="E147" t="str">
        <f t="shared" si="4"/>
        <v>2024-08</v>
      </c>
      <c r="F147" t="str">
        <f t="shared" si="5"/>
        <v>Sat</v>
      </c>
    </row>
    <row r="148" spans="1:6" x14ac:dyDescent="0.3">
      <c r="A148" s="1">
        <v>45529</v>
      </c>
      <c r="B148" t="s">
        <v>15</v>
      </c>
      <c r="C148">
        <v>34</v>
      </c>
      <c r="D148">
        <v>621000</v>
      </c>
      <c r="E148" t="str">
        <f t="shared" si="4"/>
        <v>2024-08</v>
      </c>
      <c r="F148" t="str">
        <f t="shared" si="5"/>
        <v>Sun</v>
      </c>
    </row>
    <row r="149" spans="1:6" x14ac:dyDescent="0.3">
      <c r="A149" s="1">
        <v>45530</v>
      </c>
      <c r="B149" t="s">
        <v>15</v>
      </c>
      <c r="C149">
        <v>27</v>
      </c>
      <c r="D149">
        <v>587000</v>
      </c>
      <c r="E149" t="str">
        <f t="shared" si="4"/>
        <v>2024-08</v>
      </c>
      <c r="F149" t="str">
        <f t="shared" si="5"/>
        <v>Mon</v>
      </c>
    </row>
    <row r="150" spans="1:6" x14ac:dyDescent="0.3">
      <c r="A150" s="1">
        <v>45531</v>
      </c>
      <c r="B150" t="s">
        <v>15</v>
      </c>
      <c r="C150">
        <v>22</v>
      </c>
      <c r="D150">
        <v>489000</v>
      </c>
      <c r="E150" t="str">
        <f t="shared" si="4"/>
        <v>2024-08</v>
      </c>
      <c r="F150" t="str">
        <f t="shared" si="5"/>
        <v>Tue</v>
      </c>
    </row>
    <row r="151" spans="1:6" x14ac:dyDescent="0.3">
      <c r="A151" s="1">
        <v>45532</v>
      </c>
      <c r="B151" t="s">
        <v>15</v>
      </c>
      <c r="C151">
        <v>27</v>
      </c>
      <c r="D151">
        <v>561000</v>
      </c>
      <c r="E151" t="str">
        <f t="shared" si="4"/>
        <v>2024-08</v>
      </c>
      <c r="F151" t="str">
        <f t="shared" si="5"/>
        <v>Wed</v>
      </c>
    </row>
    <row r="152" spans="1:6" x14ac:dyDescent="0.3">
      <c r="A152" s="1">
        <v>45533</v>
      </c>
      <c r="B152" t="s">
        <v>15</v>
      </c>
      <c r="C152">
        <v>20</v>
      </c>
      <c r="D152">
        <v>437000</v>
      </c>
      <c r="E152" t="str">
        <f t="shared" si="4"/>
        <v>2024-08</v>
      </c>
      <c r="F152" t="str">
        <f t="shared" si="5"/>
        <v>Thu</v>
      </c>
    </row>
    <row r="153" spans="1:6" x14ac:dyDescent="0.3">
      <c r="A153" s="1">
        <v>45534</v>
      </c>
      <c r="B153" t="s">
        <v>15</v>
      </c>
      <c r="C153">
        <v>25</v>
      </c>
      <c r="D153">
        <v>532000</v>
      </c>
      <c r="E153" t="str">
        <f t="shared" si="4"/>
        <v>2024-08</v>
      </c>
      <c r="F153" t="str">
        <f t="shared" si="5"/>
        <v>Fri</v>
      </c>
    </row>
    <row r="154" spans="1:6" x14ac:dyDescent="0.3">
      <c r="A154" s="1">
        <v>45535</v>
      </c>
      <c r="B154" t="s">
        <v>15</v>
      </c>
      <c r="C154">
        <v>30</v>
      </c>
      <c r="D154">
        <v>639000</v>
      </c>
      <c r="E154" t="str">
        <f t="shared" si="4"/>
        <v>2024-08</v>
      </c>
      <c r="F154" t="str">
        <f t="shared" si="5"/>
        <v>Sat</v>
      </c>
    </row>
    <row r="155" spans="1:6" x14ac:dyDescent="0.3">
      <c r="A155" s="1">
        <v>45536</v>
      </c>
      <c r="B155" t="s">
        <v>15</v>
      </c>
      <c r="C155">
        <v>37</v>
      </c>
      <c r="D155">
        <v>670000</v>
      </c>
      <c r="E155" t="str">
        <f t="shared" si="4"/>
        <v>2024-09</v>
      </c>
      <c r="F155" t="str">
        <f t="shared" si="5"/>
        <v>Sun</v>
      </c>
    </row>
    <row r="156" spans="1:6" x14ac:dyDescent="0.3">
      <c r="A156" s="1">
        <v>45537</v>
      </c>
      <c r="B156" t="s">
        <v>15</v>
      </c>
      <c r="C156">
        <v>26</v>
      </c>
      <c r="D156">
        <v>518000</v>
      </c>
      <c r="E156" t="str">
        <f t="shared" si="4"/>
        <v>2024-09</v>
      </c>
      <c r="F156" t="str">
        <f t="shared" si="5"/>
        <v>Mon</v>
      </c>
    </row>
    <row r="157" spans="1:6" x14ac:dyDescent="0.3">
      <c r="A157" s="1">
        <v>45538</v>
      </c>
      <c r="B157" t="s">
        <v>15</v>
      </c>
      <c r="C157">
        <v>24</v>
      </c>
      <c r="D157">
        <v>503000</v>
      </c>
      <c r="E157" t="str">
        <f t="shared" si="4"/>
        <v>2024-09</v>
      </c>
      <c r="F157" t="str">
        <f t="shared" si="5"/>
        <v>Tue</v>
      </c>
    </row>
    <row r="158" spans="1:6" x14ac:dyDescent="0.3">
      <c r="A158" s="1">
        <v>45539</v>
      </c>
      <c r="B158" t="s">
        <v>15</v>
      </c>
      <c r="C158">
        <v>28</v>
      </c>
      <c r="D158">
        <v>535000</v>
      </c>
      <c r="E158" t="str">
        <f t="shared" si="4"/>
        <v>2024-09</v>
      </c>
      <c r="F158" t="str">
        <f t="shared" si="5"/>
        <v>Wed</v>
      </c>
    </row>
    <row r="159" spans="1:6" x14ac:dyDescent="0.3">
      <c r="A159" s="1">
        <v>45540</v>
      </c>
      <c r="B159" t="s">
        <v>15</v>
      </c>
      <c r="C159">
        <v>28</v>
      </c>
      <c r="D159">
        <v>563000</v>
      </c>
      <c r="E159" t="str">
        <f t="shared" si="4"/>
        <v>2024-09</v>
      </c>
      <c r="F159" t="str">
        <f t="shared" si="5"/>
        <v>Thu</v>
      </c>
    </row>
    <row r="160" spans="1:6" x14ac:dyDescent="0.3">
      <c r="A160" s="1">
        <v>45541</v>
      </c>
      <c r="B160" t="s">
        <v>15</v>
      </c>
      <c r="C160">
        <v>29</v>
      </c>
      <c r="D160">
        <v>560000</v>
      </c>
      <c r="E160" t="str">
        <f t="shared" si="4"/>
        <v>2024-09</v>
      </c>
      <c r="F160" t="str">
        <f t="shared" si="5"/>
        <v>Fri</v>
      </c>
    </row>
    <row r="161" spans="1:6" x14ac:dyDescent="0.3">
      <c r="A161" s="1">
        <v>45542</v>
      </c>
      <c r="B161" t="s">
        <v>15</v>
      </c>
      <c r="C161">
        <v>35</v>
      </c>
      <c r="D161">
        <v>717000</v>
      </c>
      <c r="E161" t="str">
        <f t="shared" si="4"/>
        <v>2024-09</v>
      </c>
      <c r="F161" t="str">
        <f t="shared" si="5"/>
        <v>Sat</v>
      </c>
    </row>
    <row r="162" spans="1:6" x14ac:dyDescent="0.3">
      <c r="A162" s="1">
        <v>45543</v>
      </c>
      <c r="B162" t="s">
        <v>15</v>
      </c>
      <c r="C162">
        <v>28</v>
      </c>
      <c r="D162">
        <v>627000</v>
      </c>
      <c r="E162" t="str">
        <f t="shared" si="4"/>
        <v>2024-09</v>
      </c>
      <c r="F162" t="str">
        <f t="shared" si="5"/>
        <v>Sun</v>
      </c>
    </row>
    <row r="163" spans="1:6" x14ac:dyDescent="0.3">
      <c r="A163" s="1">
        <v>45544</v>
      </c>
      <c r="B163" t="s">
        <v>15</v>
      </c>
      <c r="C163">
        <v>24</v>
      </c>
      <c r="D163">
        <v>490000</v>
      </c>
      <c r="E163" t="str">
        <f t="shared" si="4"/>
        <v>2024-09</v>
      </c>
      <c r="F163" t="str">
        <f t="shared" si="5"/>
        <v>Mon</v>
      </c>
    </row>
    <row r="164" spans="1:6" x14ac:dyDescent="0.3">
      <c r="A164" s="1">
        <v>45545</v>
      </c>
      <c r="B164" t="s">
        <v>15</v>
      </c>
      <c r="C164">
        <v>25</v>
      </c>
      <c r="D164">
        <v>525000</v>
      </c>
      <c r="E164" t="str">
        <f t="shared" si="4"/>
        <v>2024-09</v>
      </c>
      <c r="F164" t="str">
        <f t="shared" si="5"/>
        <v>Tue</v>
      </c>
    </row>
    <row r="165" spans="1:6" x14ac:dyDescent="0.3">
      <c r="A165" s="1">
        <v>45546</v>
      </c>
      <c r="B165" t="s">
        <v>15</v>
      </c>
      <c r="C165">
        <v>19</v>
      </c>
      <c r="D165">
        <v>423000</v>
      </c>
      <c r="E165" t="str">
        <f t="shared" si="4"/>
        <v>2024-09</v>
      </c>
      <c r="F165" t="str">
        <f t="shared" si="5"/>
        <v>Wed</v>
      </c>
    </row>
    <row r="166" spans="1:6" x14ac:dyDescent="0.3">
      <c r="A166" s="1">
        <v>45547</v>
      </c>
      <c r="B166" t="s">
        <v>15</v>
      </c>
      <c r="C166">
        <v>26</v>
      </c>
      <c r="D166">
        <v>580000</v>
      </c>
      <c r="E166" t="str">
        <f t="shared" si="4"/>
        <v>2024-09</v>
      </c>
      <c r="F166" t="str">
        <f t="shared" si="5"/>
        <v>Thu</v>
      </c>
    </row>
    <row r="167" spans="1:6" x14ac:dyDescent="0.3">
      <c r="A167" s="1">
        <v>45548</v>
      </c>
      <c r="B167" t="s">
        <v>15</v>
      </c>
      <c r="C167">
        <v>22</v>
      </c>
      <c r="D167">
        <v>529000</v>
      </c>
      <c r="E167" t="str">
        <f t="shared" si="4"/>
        <v>2024-09</v>
      </c>
      <c r="F167" t="str">
        <f t="shared" si="5"/>
        <v>Fri</v>
      </c>
    </row>
    <row r="168" spans="1:6" x14ac:dyDescent="0.3">
      <c r="A168" s="1">
        <v>45549</v>
      </c>
      <c r="B168" t="s">
        <v>15</v>
      </c>
      <c r="C168">
        <v>43</v>
      </c>
      <c r="D168">
        <v>726000</v>
      </c>
      <c r="E168" t="str">
        <f t="shared" si="4"/>
        <v>2024-09</v>
      </c>
      <c r="F168" t="str">
        <f t="shared" si="5"/>
        <v>Sat</v>
      </c>
    </row>
    <row r="169" spans="1:6" x14ac:dyDescent="0.3">
      <c r="A169" s="1">
        <v>45550</v>
      </c>
      <c r="B169" t="s">
        <v>15</v>
      </c>
      <c r="C169">
        <v>36</v>
      </c>
      <c r="D169">
        <v>819000</v>
      </c>
      <c r="E169" t="str">
        <f t="shared" si="4"/>
        <v>2024-09</v>
      </c>
      <c r="F169" t="str">
        <f t="shared" si="5"/>
        <v>Sun</v>
      </c>
    </row>
    <row r="170" spans="1:6" x14ac:dyDescent="0.3">
      <c r="A170" s="1">
        <v>45551</v>
      </c>
      <c r="B170" t="s">
        <v>15</v>
      </c>
      <c r="C170">
        <v>29</v>
      </c>
      <c r="D170">
        <v>586000</v>
      </c>
      <c r="E170" t="str">
        <f t="shared" si="4"/>
        <v>2024-09</v>
      </c>
      <c r="F170" t="str">
        <f t="shared" si="5"/>
        <v>Mon</v>
      </c>
    </row>
    <row r="171" spans="1:6" x14ac:dyDescent="0.3">
      <c r="A171" s="1">
        <v>45552</v>
      </c>
      <c r="B171" t="s">
        <v>15</v>
      </c>
      <c r="C171">
        <v>26</v>
      </c>
      <c r="D171">
        <v>564000</v>
      </c>
      <c r="E171" t="str">
        <f t="shared" si="4"/>
        <v>2024-09</v>
      </c>
      <c r="F171" t="str">
        <f t="shared" si="5"/>
        <v>Tue</v>
      </c>
    </row>
    <row r="172" spans="1:6" x14ac:dyDescent="0.3">
      <c r="A172" s="1">
        <v>45553</v>
      </c>
      <c r="B172" t="s">
        <v>15</v>
      </c>
      <c r="C172">
        <v>22</v>
      </c>
      <c r="D172">
        <v>498000</v>
      </c>
      <c r="E172" t="str">
        <f t="shared" si="4"/>
        <v>2024-09</v>
      </c>
      <c r="F172" t="str">
        <f t="shared" si="5"/>
        <v>Wed</v>
      </c>
    </row>
    <row r="173" spans="1:6" x14ac:dyDescent="0.3">
      <c r="A173" s="1">
        <v>45554</v>
      </c>
      <c r="B173" t="s">
        <v>15</v>
      </c>
      <c r="C173">
        <v>25</v>
      </c>
      <c r="D173">
        <v>573000</v>
      </c>
      <c r="E173" t="str">
        <f t="shared" si="4"/>
        <v>2024-09</v>
      </c>
      <c r="F173" t="str">
        <f t="shared" si="5"/>
        <v>Thu</v>
      </c>
    </row>
    <row r="174" spans="1:6" x14ac:dyDescent="0.3">
      <c r="A174" s="1">
        <v>45555</v>
      </c>
      <c r="B174" t="s">
        <v>15</v>
      </c>
      <c r="C174">
        <v>25</v>
      </c>
      <c r="D174">
        <v>578000</v>
      </c>
      <c r="E174" t="str">
        <f t="shared" si="4"/>
        <v>2024-09</v>
      </c>
      <c r="F174" t="str">
        <f t="shared" si="5"/>
        <v>Fri</v>
      </c>
    </row>
    <row r="175" spans="1:6" x14ac:dyDescent="0.3">
      <c r="A175" s="1">
        <v>45556</v>
      </c>
      <c r="B175" t="s">
        <v>15</v>
      </c>
      <c r="C175">
        <v>33</v>
      </c>
      <c r="D175">
        <v>699000</v>
      </c>
      <c r="E175" t="str">
        <f t="shared" si="4"/>
        <v>2024-09</v>
      </c>
      <c r="F175" t="str">
        <f t="shared" si="5"/>
        <v>Sat</v>
      </c>
    </row>
    <row r="176" spans="1:6" x14ac:dyDescent="0.3">
      <c r="A176" s="1">
        <v>45557</v>
      </c>
      <c r="B176" t="s">
        <v>15</v>
      </c>
      <c r="C176">
        <v>35</v>
      </c>
      <c r="D176">
        <v>851000</v>
      </c>
      <c r="E176" t="str">
        <f t="shared" si="4"/>
        <v>2024-09</v>
      </c>
      <c r="F176" t="str">
        <f t="shared" si="5"/>
        <v>Sun</v>
      </c>
    </row>
    <row r="177" spans="1:6" x14ac:dyDescent="0.3">
      <c r="A177" s="1">
        <v>45558</v>
      </c>
      <c r="B177" t="s">
        <v>15</v>
      </c>
      <c r="C177">
        <v>29</v>
      </c>
      <c r="D177">
        <v>594000</v>
      </c>
      <c r="E177" t="str">
        <f t="shared" si="4"/>
        <v>2024-09</v>
      </c>
      <c r="F177" t="str">
        <f t="shared" si="5"/>
        <v>Mon</v>
      </c>
    </row>
    <row r="178" spans="1:6" x14ac:dyDescent="0.3">
      <c r="A178" s="1">
        <v>45559</v>
      </c>
      <c r="B178" t="s">
        <v>15</v>
      </c>
      <c r="C178">
        <v>22</v>
      </c>
      <c r="D178">
        <v>456000</v>
      </c>
      <c r="E178" t="str">
        <f t="shared" si="4"/>
        <v>2024-09</v>
      </c>
      <c r="F178" t="str">
        <f t="shared" si="5"/>
        <v>Tue</v>
      </c>
    </row>
    <row r="179" spans="1:6" x14ac:dyDescent="0.3">
      <c r="A179" s="1">
        <v>45560</v>
      </c>
      <c r="B179" t="s">
        <v>15</v>
      </c>
      <c r="C179">
        <v>26</v>
      </c>
      <c r="D179">
        <v>577000</v>
      </c>
      <c r="E179" t="str">
        <f t="shared" si="4"/>
        <v>2024-09</v>
      </c>
      <c r="F179" t="str">
        <f t="shared" si="5"/>
        <v>Wed</v>
      </c>
    </row>
    <row r="180" spans="1:6" x14ac:dyDescent="0.3">
      <c r="A180" s="1">
        <v>45561</v>
      </c>
      <c r="B180" t="s">
        <v>15</v>
      </c>
      <c r="C180">
        <v>25</v>
      </c>
      <c r="D180">
        <v>500000</v>
      </c>
      <c r="E180" t="str">
        <f t="shared" si="4"/>
        <v>2024-09</v>
      </c>
      <c r="F180" t="str">
        <f t="shared" si="5"/>
        <v>Thu</v>
      </c>
    </row>
    <row r="181" spans="1:6" x14ac:dyDescent="0.3">
      <c r="A181" s="1">
        <v>45562</v>
      </c>
      <c r="B181" t="s">
        <v>15</v>
      </c>
      <c r="C181">
        <v>25</v>
      </c>
      <c r="D181">
        <v>640000</v>
      </c>
      <c r="E181" t="str">
        <f t="shared" si="4"/>
        <v>2024-09</v>
      </c>
      <c r="F181" t="str">
        <f t="shared" si="5"/>
        <v>Fri</v>
      </c>
    </row>
    <row r="182" spans="1:6" x14ac:dyDescent="0.3">
      <c r="A182" s="1">
        <v>45563</v>
      </c>
      <c r="B182" t="s">
        <v>15</v>
      </c>
      <c r="C182">
        <v>37</v>
      </c>
      <c r="D182">
        <v>853000</v>
      </c>
      <c r="E182" t="str">
        <f t="shared" si="4"/>
        <v>2024-09</v>
      </c>
      <c r="F182" t="str">
        <f t="shared" si="5"/>
        <v>Sat</v>
      </c>
    </row>
    <row r="183" spans="1:6" x14ac:dyDescent="0.3">
      <c r="A183" s="1">
        <v>45564</v>
      </c>
      <c r="B183" t="s">
        <v>15</v>
      </c>
      <c r="C183">
        <v>28</v>
      </c>
      <c r="D183">
        <v>703000</v>
      </c>
      <c r="E183" t="str">
        <f t="shared" si="4"/>
        <v>2024-09</v>
      </c>
      <c r="F183" t="str">
        <f t="shared" si="5"/>
        <v>Sun</v>
      </c>
    </row>
    <row r="184" spans="1:6" x14ac:dyDescent="0.3">
      <c r="A184" s="1">
        <v>45565</v>
      </c>
      <c r="B184" t="s">
        <v>15</v>
      </c>
      <c r="C184">
        <v>25</v>
      </c>
      <c r="D184">
        <v>526000</v>
      </c>
      <c r="E184" t="str">
        <f t="shared" si="4"/>
        <v>2024-09</v>
      </c>
      <c r="F184" t="str">
        <f t="shared" si="5"/>
        <v>Mon</v>
      </c>
    </row>
    <row r="185" spans="1:6" x14ac:dyDescent="0.3">
      <c r="A185" s="1">
        <v>45566</v>
      </c>
      <c r="B185" t="s">
        <v>15</v>
      </c>
      <c r="C185">
        <v>29</v>
      </c>
      <c r="D185">
        <v>584000</v>
      </c>
      <c r="E185" t="str">
        <f t="shared" si="4"/>
        <v>2024-10</v>
      </c>
      <c r="F185" t="str">
        <f t="shared" si="5"/>
        <v>Tue</v>
      </c>
    </row>
    <row r="186" spans="1:6" x14ac:dyDescent="0.3">
      <c r="A186" s="1">
        <v>45567</v>
      </c>
      <c r="B186" t="s">
        <v>15</v>
      </c>
      <c r="C186">
        <v>26</v>
      </c>
      <c r="D186">
        <v>564000</v>
      </c>
      <c r="E186" t="str">
        <f t="shared" si="4"/>
        <v>2024-10</v>
      </c>
      <c r="F186" t="str">
        <f t="shared" si="5"/>
        <v>Wed</v>
      </c>
    </row>
    <row r="187" spans="1:6" x14ac:dyDescent="0.3">
      <c r="A187" s="1">
        <v>45568</v>
      </c>
      <c r="B187" t="s">
        <v>15</v>
      </c>
      <c r="C187">
        <v>30</v>
      </c>
      <c r="D187">
        <v>666000</v>
      </c>
      <c r="E187" t="str">
        <f t="shared" si="4"/>
        <v>2024-10</v>
      </c>
      <c r="F187" t="str">
        <f t="shared" si="5"/>
        <v>Thu</v>
      </c>
    </row>
    <row r="188" spans="1:6" x14ac:dyDescent="0.3">
      <c r="A188" s="1">
        <v>45569</v>
      </c>
      <c r="B188" t="s">
        <v>15</v>
      </c>
      <c r="C188">
        <v>31</v>
      </c>
      <c r="D188">
        <v>621000</v>
      </c>
      <c r="E188" t="str">
        <f t="shared" si="4"/>
        <v>2024-10</v>
      </c>
      <c r="F188" t="str">
        <f t="shared" si="5"/>
        <v>Fri</v>
      </c>
    </row>
    <row r="189" spans="1:6" x14ac:dyDescent="0.3">
      <c r="A189" s="1">
        <v>45570</v>
      </c>
      <c r="B189" t="s">
        <v>15</v>
      </c>
      <c r="C189">
        <v>35</v>
      </c>
      <c r="D189">
        <v>769000</v>
      </c>
      <c r="E189" t="str">
        <f t="shared" si="4"/>
        <v>2024-10</v>
      </c>
      <c r="F189" t="str">
        <f t="shared" si="5"/>
        <v>Sat</v>
      </c>
    </row>
    <row r="190" spans="1:6" x14ac:dyDescent="0.3">
      <c r="A190" s="1">
        <v>45571</v>
      </c>
      <c r="B190" t="s">
        <v>15</v>
      </c>
      <c r="C190">
        <v>40</v>
      </c>
      <c r="D190">
        <v>838000</v>
      </c>
      <c r="E190" t="str">
        <f t="shared" si="4"/>
        <v>2024-10</v>
      </c>
      <c r="F190" t="str">
        <f t="shared" si="5"/>
        <v>Sun</v>
      </c>
    </row>
    <row r="191" spans="1:6" x14ac:dyDescent="0.3">
      <c r="A191" s="1">
        <v>45572</v>
      </c>
      <c r="B191" t="s">
        <v>15</v>
      </c>
      <c r="C191">
        <v>19</v>
      </c>
      <c r="D191">
        <v>461000</v>
      </c>
      <c r="E191" t="str">
        <f t="shared" si="4"/>
        <v>2024-10</v>
      </c>
      <c r="F191" t="str">
        <f t="shared" si="5"/>
        <v>Mon</v>
      </c>
    </row>
    <row r="192" spans="1:6" x14ac:dyDescent="0.3">
      <c r="A192" s="1">
        <v>45573</v>
      </c>
      <c r="B192" t="s">
        <v>15</v>
      </c>
      <c r="C192">
        <v>30</v>
      </c>
      <c r="D192">
        <v>597000</v>
      </c>
      <c r="E192" t="str">
        <f t="shared" si="4"/>
        <v>2024-10</v>
      </c>
      <c r="F192" t="str">
        <f t="shared" si="5"/>
        <v>Tue</v>
      </c>
    </row>
    <row r="193" spans="1:6" x14ac:dyDescent="0.3">
      <c r="A193" s="1">
        <v>45574</v>
      </c>
      <c r="B193" t="s">
        <v>15</v>
      </c>
      <c r="C193">
        <v>27</v>
      </c>
      <c r="D193">
        <v>630000</v>
      </c>
      <c r="E193" t="str">
        <f t="shared" si="4"/>
        <v>2024-10</v>
      </c>
      <c r="F193" t="str">
        <f t="shared" si="5"/>
        <v>Wed</v>
      </c>
    </row>
    <row r="194" spans="1:6" x14ac:dyDescent="0.3">
      <c r="A194" s="1">
        <v>45575</v>
      </c>
      <c r="B194" t="s">
        <v>15</v>
      </c>
      <c r="C194">
        <v>29</v>
      </c>
      <c r="D194">
        <v>570000</v>
      </c>
      <c r="E194" t="str">
        <f t="shared" ref="E194:E257" si="6">TEXT(A194,"yyyy-mm")</f>
        <v>2024-10</v>
      </c>
      <c r="F194" t="str">
        <f t="shared" ref="F194:F257" si="7">TEXT(A194,"ddd")</f>
        <v>Thu</v>
      </c>
    </row>
    <row r="195" spans="1:6" x14ac:dyDescent="0.3">
      <c r="A195" s="1">
        <v>45576</v>
      </c>
      <c r="B195" t="s">
        <v>15</v>
      </c>
      <c r="C195">
        <v>28</v>
      </c>
      <c r="D195">
        <v>539000</v>
      </c>
      <c r="E195" t="str">
        <f t="shared" si="6"/>
        <v>2024-10</v>
      </c>
      <c r="F195" t="str">
        <f t="shared" si="7"/>
        <v>Fri</v>
      </c>
    </row>
    <row r="196" spans="1:6" x14ac:dyDescent="0.3">
      <c r="A196" s="1">
        <v>45577</v>
      </c>
      <c r="B196" t="s">
        <v>15</v>
      </c>
      <c r="C196">
        <v>43</v>
      </c>
      <c r="D196">
        <v>839000</v>
      </c>
      <c r="E196" t="str">
        <f t="shared" si="6"/>
        <v>2024-10</v>
      </c>
      <c r="F196" t="str">
        <f t="shared" si="7"/>
        <v>Sat</v>
      </c>
    </row>
    <row r="197" spans="1:6" x14ac:dyDescent="0.3">
      <c r="A197" s="1">
        <v>45578</v>
      </c>
      <c r="B197" t="s">
        <v>15</v>
      </c>
      <c r="C197">
        <v>51</v>
      </c>
      <c r="D197">
        <v>950000</v>
      </c>
      <c r="E197" t="str">
        <f t="shared" si="6"/>
        <v>2024-10</v>
      </c>
      <c r="F197" t="str">
        <f t="shared" si="7"/>
        <v>Sun</v>
      </c>
    </row>
    <row r="198" spans="1:6" x14ac:dyDescent="0.3">
      <c r="A198" s="1">
        <v>45579</v>
      </c>
      <c r="B198" t="s">
        <v>15</v>
      </c>
      <c r="C198">
        <v>28</v>
      </c>
      <c r="D198">
        <v>593000</v>
      </c>
      <c r="E198" t="str">
        <f t="shared" si="6"/>
        <v>2024-10</v>
      </c>
      <c r="F198" t="str">
        <f t="shared" si="7"/>
        <v>Mon</v>
      </c>
    </row>
    <row r="199" spans="1:6" x14ac:dyDescent="0.3">
      <c r="A199" s="1">
        <v>45580</v>
      </c>
      <c r="B199" t="s">
        <v>15</v>
      </c>
      <c r="C199">
        <v>22</v>
      </c>
      <c r="D199">
        <v>516000</v>
      </c>
      <c r="E199" t="str">
        <f t="shared" si="6"/>
        <v>2024-10</v>
      </c>
      <c r="F199" t="str">
        <f t="shared" si="7"/>
        <v>Tue</v>
      </c>
    </row>
    <row r="200" spans="1:6" x14ac:dyDescent="0.3">
      <c r="A200" s="1">
        <v>45581</v>
      </c>
      <c r="B200" t="s">
        <v>15</v>
      </c>
      <c r="C200">
        <v>31</v>
      </c>
      <c r="D200">
        <v>665000</v>
      </c>
      <c r="E200" t="str">
        <f t="shared" si="6"/>
        <v>2024-10</v>
      </c>
      <c r="F200" t="str">
        <f t="shared" si="7"/>
        <v>Wed</v>
      </c>
    </row>
    <row r="201" spans="1:6" x14ac:dyDescent="0.3">
      <c r="A201" s="1">
        <v>45582</v>
      </c>
      <c r="B201" t="s">
        <v>15</v>
      </c>
      <c r="C201">
        <v>21</v>
      </c>
      <c r="D201">
        <v>472000</v>
      </c>
      <c r="E201" t="str">
        <f t="shared" si="6"/>
        <v>2024-10</v>
      </c>
      <c r="F201" t="str">
        <f t="shared" si="7"/>
        <v>Thu</v>
      </c>
    </row>
    <row r="202" spans="1:6" x14ac:dyDescent="0.3">
      <c r="A202" s="1">
        <v>45583</v>
      </c>
      <c r="B202" t="s">
        <v>15</v>
      </c>
      <c r="C202">
        <v>25</v>
      </c>
      <c r="D202">
        <v>611000</v>
      </c>
      <c r="E202" t="str">
        <f t="shared" si="6"/>
        <v>2024-10</v>
      </c>
      <c r="F202" t="str">
        <f t="shared" si="7"/>
        <v>Fri</v>
      </c>
    </row>
    <row r="203" spans="1:6" x14ac:dyDescent="0.3">
      <c r="A203" s="1">
        <v>45584</v>
      </c>
      <c r="B203" t="s">
        <v>15</v>
      </c>
      <c r="C203">
        <v>35</v>
      </c>
      <c r="D203">
        <v>750000</v>
      </c>
      <c r="E203" t="str">
        <f t="shared" si="6"/>
        <v>2024-10</v>
      </c>
      <c r="F203" t="str">
        <f t="shared" si="7"/>
        <v>Sat</v>
      </c>
    </row>
    <row r="204" spans="1:6" x14ac:dyDescent="0.3">
      <c r="A204" s="1">
        <v>45585</v>
      </c>
      <c r="B204" t="s">
        <v>15</v>
      </c>
      <c r="C204">
        <v>41</v>
      </c>
      <c r="D204">
        <v>871000</v>
      </c>
      <c r="E204" t="str">
        <f t="shared" si="6"/>
        <v>2024-10</v>
      </c>
      <c r="F204" t="str">
        <f t="shared" si="7"/>
        <v>Sun</v>
      </c>
    </row>
    <row r="205" spans="1:6" x14ac:dyDescent="0.3">
      <c r="A205" s="1">
        <v>45586</v>
      </c>
      <c r="B205" t="s">
        <v>15</v>
      </c>
      <c r="C205">
        <v>26</v>
      </c>
      <c r="D205">
        <v>533000</v>
      </c>
      <c r="E205" t="str">
        <f t="shared" si="6"/>
        <v>2024-10</v>
      </c>
      <c r="F205" t="str">
        <f t="shared" si="7"/>
        <v>Mon</v>
      </c>
    </row>
    <row r="206" spans="1:6" x14ac:dyDescent="0.3">
      <c r="A206" s="1">
        <v>45587</v>
      </c>
      <c r="B206" t="s">
        <v>15</v>
      </c>
      <c r="C206">
        <v>37</v>
      </c>
      <c r="D206">
        <v>660000</v>
      </c>
      <c r="E206" t="str">
        <f t="shared" si="6"/>
        <v>2024-10</v>
      </c>
      <c r="F206" t="str">
        <f t="shared" si="7"/>
        <v>Tue</v>
      </c>
    </row>
    <row r="207" spans="1:6" x14ac:dyDescent="0.3">
      <c r="A207" s="1">
        <v>45588</v>
      </c>
      <c r="B207" t="s">
        <v>15</v>
      </c>
      <c r="C207">
        <v>27</v>
      </c>
      <c r="D207">
        <v>601000</v>
      </c>
      <c r="E207" t="str">
        <f t="shared" si="6"/>
        <v>2024-10</v>
      </c>
      <c r="F207" t="str">
        <f t="shared" si="7"/>
        <v>Wed</v>
      </c>
    </row>
    <row r="208" spans="1:6" x14ac:dyDescent="0.3">
      <c r="A208" s="1">
        <v>45589</v>
      </c>
      <c r="B208" t="s">
        <v>15</v>
      </c>
      <c r="C208">
        <v>28</v>
      </c>
      <c r="D208">
        <v>483000</v>
      </c>
      <c r="E208" t="str">
        <f t="shared" si="6"/>
        <v>2024-10</v>
      </c>
      <c r="F208" t="str">
        <f t="shared" si="7"/>
        <v>Thu</v>
      </c>
    </row>
    <row r="209" spans="1:6" x14ac:dyDescent="0.3">
      <c r="A209" s="1">
        <v>45590</v>
      </c>
      <c r="B209" t="s">
        <v>15</v>
      </c>
      <c r="C209">
        <v>21</v>
      </c>
      <c r="D209">
        <v>468000</v>
      </c>
      <c r="E209" t="str">
        <f t="shared" si="6"/>
        <v>2024-10</v>
      </c>
      <c r="F209" t="str">
        <f t="shared" si="7"/>
        <v>Fri</v>
      </c>
    </row>
    <row r="210" spans="1:6" x14ac:dyDescent="0.3">
      <c r="A210" s="1">
        <v>45591</v>
      </c>
      <c r="B210" t="s">
        <v>15</v>
      </c>
      <c r="C210">
        <v>37</v>
      </c>
      <c r="D210">
        <v>774000</v>
      </c>
      <c r="E210" t="str">
        <f t="shared" si="6"/>
        <v>2024-10</v>
      </c>
      <c r="F210" t="str">
        <f t="shared" si="7"/>
        <v>Sat</v>
      </c>
    </row>
    <row r="211" spans="1:6" x14ac:dyDescent="0.3">
      <c r="A211" s="1">
        <v>45592</v>
      </c>
      <c r="B211" t="s">
        <v>15</v>
      </c>
      <c r="C211">
        <v>39</v>
      </c>
      <c r="D211">
        <v>903000</v>
      </c>
      <c r="E211" t="str">
        <f t="shared" si="6"/>
        <v>2024-10</v>
      </c>
      <c r="F211" t="str">
        <f t="shared" si="7"/>
        <v>Sun</v>
      </c>
    </row>
    <row r="212" spans="1:6" x14ac:dyDescent="0.3">
      <c r="A212" s="1">
        <v>45593</v>
      </c>
      <c r="B212" t="s">
        <v>15</v>
      </c>
      <c r="C212">
        <v>28</v>
      </c>
      <c r="D212">
        <v>592000</v>
      </c>
      <c r="E212" t="str">
        <f t="shared" si="6"/>
        <v>2024-10</v>
      </c>
      <c r="F212" t="str">
        <f t="shared" si="7"/>
        <v>Mon</v>
      </c>
    </row>
    <row r="213" spans="1:6" x14ac:dyDescent="0.3">
      <c r="A213" s="1">
        <v>45594</v>
      </c>
      <c r="B213" t="s">
        <v>15</v>
      </c>
      <c r="C213">
        <v>30</v>
      </c>
      <c r="D213">
        <v>589000</v>
      </c>
      <c r="E213" t="str">
        <f t="shared" si="6"/>
        <v>2024-10</v>
      </c>
      <c r="F213" t="str">
        <f t="shared" si="7"/>
        <v>Tue</v>
      </c>
    </row>
    <row r="214" spans="1:6" x14ac:dyDescent="0.3">
      <c r="A214" s="1">
        <v>45595</v>
      </c>
      <c r="B214" t="s">
        <v>15</v>
      </c>
      <c r="C214">
        <v>26</v>
      </c>
      <c r="D214">
        <v>571000</v>
      </c>
      <c r="E214" t="str">
        <f t="shared" si="6"/>
        <v>2024-10</v>
      </c>
      <c r="F214" t="str">
        <f t="shared" si="7"/>
        <v>Wed</v>
      </c>
    </row>
    <row r="215" spans="1:6" x14ac:dyDescent="0.3">
      <c r="A215" s="1">
        <v>45596</v>
      </c>
      <c r="B215" t="s">
        <v>15</v>
      </c>
      <c r="C215">
        <v>32</v>
      </c>
      <c r="D215">
        <v>628000</v>
      </c>
      <c r="E215" t="str">
        <f t="shared" si="6"/>
        <v>2024-10</v>
      </c>
      <c r="F215" t="str">
        <f t="shared" si="7"/>
        <v>Thu</v>
      </c>
    </row>
    <row r="216" spans="1:6" x14ac:dyDescent="0.3">
      <c r="A216" s="1">
        <v>45597</v>
      </c>
      <c r="B216" t="s">
        <v>15</v>
      </c>
      <c r="C216">
        <v>29</v>
      </c>
      <c r="D216">
        <v>607000</v>
      </c>
      <c r="E216" t="str">
        <f t="shared" si="6"/>
        <v>2024-11</v>
      </c>
      <c r="F216" t="str">
        <f t="shared" si="7"/>
        <v>Fri</v>
      </c>
    </row>
    <row r="217" spans="1:6" x14ac:dyDescent="0.3">
      <c r="A217" s="1">
        <v>45598</v>
      </c>
      <c r="B217" t="s">
        <v>15</v>
      </c>
      <c r="C217">
        <v>39</v>
      </c>
      <c r="D217">
        <v>824000</v>
      </c>
      <c r="E217" t="str">
        <f t="shared" si="6"/>
        <v>2024-11</v>
      </c>
      <c r="F217" t="str">
        <f t="shared" si="7"/>
        <v>Sat</v>
      </c>
    </row>
    <row r="218" spans="1:6" x14ac:dyDescent="0.3">
      <c r="A218" s="1">
        <v>45599</v>
      </c>
      <c r="B218" t="s">
        <v>15</v>
      </c>
      <c r="C218">
        <v>35</v>
      </c>
      <c r="D218">
        <v>723000</v>
      </c>
      <c r="E218" t="str">
        <f t="shared" si="6"/>
        <v>2024-11</v>
      </c>
      <c r="F218" t="str">
        <f t="shared" si="7"/>
        <v>Sun</v>
      </c>
    </row>
    <row r="219" spans="1:6" x14ac:dyDescent="0.3">
      <c r="A219" s="1">
        <v>45600</v>
      </c>
      <c r="B219" t="s">
        <v>15</v>
      </c>
      <c r="C219">
        <v>32</v>
      </c>
      <c r="D219">
        <v>656000</v>
      </c>
      <c r="E219" t="str">
        <f t="shared" si="6"/>
        <v>2024-11</v>
      </c>
      <c r="F219" t="str">
        <f t="shared" si="7"/>
        <v>Mon</v>
      </c>
    </row>
    <row r="220" spans="1:6" x14ac:dyDescent="0.3">
      <c r="A220" s="1">
        <v>45601</v>
      </c>
      <c r="B220" t="s">
        <v>15</v>
      </c>
      <c r="C220">
        <v>34</v>
      </c>
      <c r="D220">
        <v>666000</v>
      </c>
      <c r="E220" t="str">
        <f t="shared" si="6"/>
        <v>2024-11</v>
      </c>
      <c r="F220" t="str">
        <f t="shared" si="7"/>
        <v>Tue</v>
      </c>
    </row>
    <row r="221" spans="1:6" x14ac:dyDescent="0.3">
      <c r="A221" s="1">
        <v>45602</v>
      </c>
      <c r="B221" t="s">
        <v>15</v>
      </c>
      <c r="C221">
        <v>25</v>
      </c>
      <c r="D221">
        <v>510000</v>
      </c>
      <c r="E221" t="str">
        <f t="shared" si="6"/>
        <v>2024-11</v>
      </c>
      <c r="F221" t="str">
        <f t="shared" si="7"/>
        <v>Wed</v>
      </c>
    </row>
    <row r="222" spans="1:6" x14ac:dyDescent="0.3">
      <c r="A222" s="1">
        <v>45603</v>
      </c>
      <c r="B222" t="s">
        <v>15</v>
      </c>
      <c r="C222">
        <v>43</v>
      </c>
      <c r="D222">
        <v>722000</v>
      </c>
      <c r="E222" t="str">
        <f t="shared" si="6"/>
        <v>2024-11</v>
      </c>
      <c r="F222" t="str">
        <f t="shared" si="7"/>
        <v>Thu</v>
      </c>
    </row>
    <row r="223" spans="1:6" x14ac:dyDescent="0.3">
      <c r="A223" s="1">
        <v>45604</v>
      </c>
      <c r="B223" t="s">
        <v>15</v>
      </c>
      <c r="C223">
        <v>30</v>
      </c>
      <c r="D223">
        <v>630000</v>
      </c>
      <c r="E223" t="str">
        <f t="shared" si="6"/>
        <v>2024-11</v>
      </c>
      <c r="F223" t="str">
        <f t="shared" si="7"/>
        <v>Fri</v>
      </c>
    </row>
    <row r="224" spans="1:6" x14ac:dyDescent="0.3">
      <c r="A224" s="1">
        <v>45605</v>
      </c>
      <c r="B224" t="s">
        <v>15</v>
      </c>
      <c r="C224">
        <v>41</v>
      </c>
      <c r="D224">
        <v>765000</v>
      </c>
      <c r="E224" t="str">
        <f t="shared" si="6"/>
        <v>2024-11</v>
      </c>
      <c r="F224" t="str">
        <f t="shared" si="7"/>
        <v>Sat</v>
      </c>
    </row>
    <row r="225" spans="1:6" x14ac:dyDescent="0.3">
      <c r="A225" s="1">
        <v>45606</v>
      </c>
      <c r="B225" t="s">
        <v>15</v>
      </c>
      <c r="C225">
        <v>28</v>
      </c>
      <c r="D225">
        <v>651000</v>
      </c>
      <c r="E225" t="str">
        <f t="shared" si="6"/>
        <v>2024-11</v>
      </c>
      <c r="F225" t="str">
        <f t="shared" si="7"/>
        <v>Sun</v>
      </c>
    </row>
    <row r="226" spans="1:6" x14ac:dyDescent="0.3">
      <c r="A226" s="1">
        <v>45607</v>
      </c>
      <c r="B226" t="s">
        <v>15</v>
      </c>
      <c r="C226">
        <v>27</v>
      </c>
      <c r="D226">
        <v>626000</v>
      </c>
      <c r="E226" t="str">
        <f t="shared" si="6"/>
        <v>2024-11</v>
      </c>
      <c r="F226" t="str">
        <f t="shared" si="7"/>
        <v>Mon</v>
      </c>
    </row>
    <row r="227" spans="1:6" x14ac:dyDescent="0.3">
      <c r="A227" s="1">
        <v>45608</v>
      </c>
      <c r="B227" t="s">
        <v>15</v>
      </c>
      <c r="C227">
        <v>36</v>
      </c>
      <c r="D227">
        <v>621000</v>
      </c>
      <c r="E227" t="str">
        <f t="shared" si="6"/>
        <v>2024-11</v>
      </c>
      <c r="F227" t="str">
        <f t="shared" si="7"/>
        <v>Tue</v>
      </c>
    </row>
    <row r="228" spans="1:6" x14ac:dyDescent="0.3">
      <c r="A228" s="1">
        <v>45609</v>
      </c>
      <c r="B228" t="s">
        <v>15</v>
      </c>
      <c r="C228">
        <v>26</v>
      </c>
      <c r="D228">
        <v>553000</v>
      </c>
      <c r="E228" t="str">
        <f t="shared" si="6"/>
        <v>2024-11</v>
      </c>
      <c r="F228" t="str">
        <f t="shared" si="7"/>
        <v>Wed</v>
      </c>
    </row>
    <row r="229" spans="1:6" x14ac:dyDescent="0.3">
      <c r="A229" s="1">
        <v>45610</v>
      </c>
      <c r="B229" t="s">
        <v>15</v>
      </c>
      <c r="C229">
        <v>23</v>
      </c>
      <c r="D229">
        <v>483000</v>
      </c>
      <c r="E229" t="str">
        <f t="shared" si="6"/>
        <v>2024-11</v>
      </c>
      <c r="F229" t="str">
        <f t="shared" si="7"/>
        <v>Thu</v>
      </c>
    </row>
    <row r="230" spans="1:6" x14ac:dyDescent="0.3">
      <c r="A230" s="1">
        <v>45611</v>
      </c>
      <c r="B230" t="s">
        <v>15</v>
      </c>
      <c r="C230">
        <v>35</v>
      </c>
      <c r="D230">
        <v>655000</v>
      </c>
      <c r="E230" t="str">
        <f t="shared" si="6"/>
        <v>2024-11</v>
      </c>
      <c r="F230" t="str">
        <f t="shared" si="7"/>
        <v>Fri</v>
      </c>
    </row>
    <row r="231" spans="1:6" x14ac:dyDescent="0.3">
      <c r="A231" s="1">
        <v>45612</v>
      </c>
      <c r="B231" t="s">
        <v>15</v>
      </c>
      <c r="C231">
        <v>34</v>
      </c>
      <c r="D231">
        <v>759000</v>
      </c>
      <c r="E231" t="str">
        <f t="shared" si="6"/>
        <v>2024-11</v>
      </c>
      <c r="F231" t="str">
        <f t="shared" si="7"/>
        <v>Sat</v>
      </c>
    </row>
    <row r="232" spans="1:6" x14ac:dyDescent="0.3">
      <c r="A232" s="1">
        <v>45613</v>
      </c>
      <c r="B232" t="s">
        <v>15</v>
      </c>
      <c r="C232">
        <v>38</v>
      </c>
      <c r="D232">
        <v>768000</v>
      </c>
      <c r="E232" t="str">
        <f t="shared" si="6"/>
        <v>2024-11</v>
      </c>
      <c r="F232" t="str">
        <f t="shared" si="7"/>
        <v>Sun</v>
      </c>
    </row>
    <row r="233" spans="1:6" x14ac:dyDescent="0.3">
      <c r="A233" s="1">
        <v>45614</v>
      </c>
      <c r="B233" t="s">
        <v>15</v>
      </c>
      <c r="C233">
        <v>43</v>
      </c>
      <c r="D233">
        <v>757000</v>
      </c>
      <c r="E233" t="str">
        <f t="shared" si="6"/>
        <v>2024-11</v>
      </c>
      <c r="F233" t="str">
        <f t="shared" si="7"/>
        <v>Mon</v>
      </c>
    </row>
    <row r="234" spans="1:6" x14ac:dyDescent="0.3">
      <c r="A234" s="1">
        <v>45615</v>
      </c>
      <c r="B234" t="s">
        <v>15</v>
      </c>
      <c r="C234">
        <v>35</v>
      </c>
      <c r="D234">
        <v>715000</v>
      </c>
      <c r="E234" t="str">
        <f t="shared" si="6"/>
        <v>2024-11</v>
      </c>
      <c r="F234" t="str">
        <f t="shared" si="7"/>
        <v>Tue</v>
      </c>
    </row>
    <row r="235" spans="1:6" x14ac:dyDescent="0.3">
      <c r="A235" s="1">
        <v>45616</v>
      </c>
      <c r="B235" t="s">
        <v>15</v>
      </c>
      <c r="C235">
        <v>31</v>
      </c>
      <c r="D235">
        <v>646000</v>
      </c>
      <c r="E235" t="str">
        <f t="shared" si="6"/>
        <v>2024-11</v>
      </c>
      <c r="F235" t="str">
        <f t="shared" si="7"/>
        <v>Wed</v>
      </c>
    </row>
    <row r="236" spans="1:6" x14ac:dyDescent="0.3">
      <c r="A236" s="1">
        <v>45617</v>
      </c>
      <c r="B236" t="s">
        <v>15</v>
      </c>
      <c r="C236">
        <v>27</v>
      </c>
      <c r="D236">
        <v>563000</v>
      </c>
      <c r="E236" t="str">
        <f t="shared" si="6"/>
        <v>2024-11</v>
      </c>
      <c r="F236" t="str">
        <f t="shared" si="7"/>
        <v>Thu</v>
      </c>
    </row>
    <row r="237" spans="1:6" x14ac:dyDescent="0.3">
      <c r="A237" s="1">
        <v>45618</v>
      </c>
      <c r="B237" t="s">
        <v>15</v>
      </c>
      <c r="C237">
        <v>34</v>
      </c>
      <c r="D237">
        <v>629000</v>
      </c>
      <c r="E237" t="str">
        <f t="shared" si="6"/>
        <v>2024-11</v>
      </c>
      <c r="F237" t="str">
        <f t="shared" si="7"/>
        <v>Fri</v>
      </c>
    </row>
    <row r="238" spans="1:6" x14ac:dyDescent="0.3">
      <c r="A238" s="1">
        <v>45619</v>
      </c>
      <c r="B238" t="s">
        <v>15</v>
      </c>
      <c r="C238">
        <v>28</v>
      </c>
      <c r="D238">
        <v>624000</v>
      </c>
      <c r="E238" t="str">
        <f t="shared" si="6"/>
        <v>2024-11</v>
      </c>
      <c r="F238" t="str">
        <f t="shared" si="7"/>
        <v>Sat</v>
      </c>
    </row>
    <row r="239" spans="1:6" x14ac:dyDescent="0.3">
      <c r="A239" s="1">
        <v>45620</v>
      </c>
      <c r="B239" t="s">
        <v>15</v>
      </c>
      <c r="C239">
        <v>36</v>
      </c>
      <c r="D239">
        <v>817000</v>
      </c>
      <c r="E239" t="str">
        <f t="shared" si="6"/>
        <v>2024-11</v>
      </c>
      <c r="F239" t="str">
        <f t="shared" si="7"/>
        <v>Sun</v>
      </c>
    </row>
    <row r="240" spans="1:6" x14ac:dyDescent="0.3">
      <c r="A240" s="1">
        <v>45621</v>
      </c>
      <c r="B240" t="s">
        <v>15</v>
      </c>
      <c r="C240">
        <v>29</v>
      </c>
      <c r="D240">
        <v>546000</v>
      </c>
      <c r="E240" t="str">
        <f t="shared" si="6"/>
        <v>2024-11</v>
      </c>
      <c r="F240" t="str">
        <f t="shared" si="7"/>
        <v>Mon</v>
      </c>
    </row>
    <row r="241" spans="1:6" x14ac:dyDescent="0.3">
      <c r="A241" s="1">
        <v>45622</v>
      </c>
      <c r="B241" t="s">
        <v>15</v>
      </c>
      <c r="C241">
        <v>26</v>
      </c>
      <c r="D241">
        <v>516000</v>
      </c>
      <c r="E241" t="str">
        <f t="shared" si="6"/>
        <v>2024-11</v>
      </c>
      <c r="F241" t="str">
        <f t="shared" si="7"/>
        <v>Tue</v>
      </c>
    </row>
    <row r="242" spans="1:6" x14ac:dyDescent="0.3">
      <c r="A242" s="1">
        <v>45623</v>
      </c>
      <c r="B242" t="s">
        <v>15</v>
      </c>
      <c r="C242">
        <v>24</v>
      </c>
      <c r="D242">
        <v>498000</v>
      </c>
      <c r="E242" t="str">
        <f t="shared" si="6"/>
        <v>2024-11</v>
      </c>
      <c r="F242" t="str">
        <f t="shared" si="7"/>
        <v>Wed</v>
      </c>
    </row>
    <row r="243" spans="1:6" x14ac:dyDescent="0.3">
      <c r="A243" s="1">
        <v>45624</v>
      </c>
      <c r="B243" t="s">
        <v>15</v>
      </c>
      <c r="C243">
        <v>31</v>
      </c>
      <c r="D243">
        <v>623000</v>
      </c>
      <c r="E243" t="str">
        <f t="shared" si="6"/>
        <v>2024-11</v>
      </c>
      <c r="F243" t="str">
        <f t="shared" si="7"/>
        <v>Thu</v>
      </c>
    </row>
    <row r="244" spans="1:6" x14ac:dyDescent="0.3">
      <c r="A244" s="1">
        <v>45625</v>
      </c>
      <c r="B244" t="s">
        <v>15</v>
      </c>
      <c r="C244">
        <v>24</v>
      </c>
      <c r="D244">
        <v>598000</v>
      </c>
      <c r="E244" t="str">
        <f t="shared" si="6"/>
        <v>2024-11</v>
      </c>
      <c r="F244" t="str">
        <f t="shared" si="7"/>
        <v>Fri</v>
      </c>
    </row>
    <row r="245" spans="1:6" x14ac:dyDescent="0.3">
      <c r="A245" s="1">
        <v>45626</v>
      </c>
      <c r="B245" t="s">
        <v>15</v>
      </c>
      <c r="C245">
        <v>38</v>
      </c>
      <c r="D245">
        <v>824000</v>
      </c>
      <c r="E245" t="str">
        <f t="shared" si="6"/>
        <v>2024-11</v>
      </c>
      <c r="F245" t="str">
        <f t="shared" si="7"/>
        <v>Sat</v>
      </c>
    </row>
    <row r="246" spans="1:6" x14ac:dyDescent="0.3">
      <c r="A246" s="1">
        <v>45627</v>
      </c>
      <c r="B246" t="s">
        <v>15</v>
      </c>
      <c r="C246">
        <v>46</v>
      </c>
      <c r="D246">
        <v>880000</v>
      </c>
      <c r="E246" t="str">
        <f t="shared" si="6"/>
        <v>2024-12</v>
      </c>
      <c r="F246" t="str">
        <f t="shared" si="7"/>
        <v>Sun</v>
      </c>
    </row>
    <row r="247" spans="1:6" x14ac:dyDescent="0.3">
      <c r="A247" s="1">
        <v>45628</v>
      </c>
      <c r="B247" t="s">
        <v>15</v>
      </c>
      <c r="C247">
        <v>28</v>
      </c>
      <c r="D247">
        <v>543000</v>
      </c>
      <c r="E247" t="str">
        <f t="shared" si="6"/>
        <v>2024-12</v>
      </c>
      <c r="F247" t="str">
        <f t="shared" si="7"/>
        <v>Mon</v>
      </c>
    </row>
    <row r="248" spans="1:6" x14ac:dyDescent="0.3">
      <c r="A248" s="1">
        <v>45629</v>
      </c>
      <c r="B248" t="s">
        <v>15</v>
      </c>
      <c r="C248">
        <v>25</v>
      </c>
      <c r="D248">
        <v>520000</v>
      </c>
      <c r="E248" t="str">
        <f t="shared" si="6"/>
        <v>2024-12</v>
      </c>
      <c r="F248" t="str">
        <f t="shared" si="7"/>
        <v>Tue</v>
      </c>
    </row>
    <row r="249" spans="1:6" x14ac:dyDescent="0.3">
      <c r="A249" s="1">
        <v>45630</v>
      </c>
      <c r="B249" t="s">
        <v>15</v>
      </c>
      <c r="C249">
        <v>19</v>
      </c>
      <c r="D249">
        <v>488000</v>
      </c>
      <c r="E249" t="str">
        <f t="shared" si="6"/>
        <v>2024-12</v>
      </c>
      <c r="F249" t="str">
        <f t="shared" si="7"/>
        <v>Wed</v>
      </c>
    </row>
    <row r="250" spans="1:6" x14ac:dyDescent="0.3">
      <c r="A250" s="1">
        <v>45631</v>
      </c>
      <c r="B250" t="s">
        <v>15</v>
      </c>
      <c r="C250">
        <v>28</v>
      </c>
      <c r="D250">
        <v>574000</v>
      </c>
      <c r="E250" t="str">
        <f t="shared" si="6"/>
        <v>2024-12</v>
      </c>
      <c r="F250" t="str">
        <f t="shared" si="7"/>
        <v>Thu</v>
      </c>
    </row>
    <row r="251" spans="1:6" x14ac:dyDescent="0.3">
      <c r="A251" s="1">
        <v>45632</v>
      </c>
      <c r="B251" t="s">
        <v>15</v>
      </c>
      <c r="C251">
        <v>30</v>
      </c>
      <c r="D251">
        <v>639000</v>
      </c>
      <c r="E251" t="str">
        <f t="shared" si="6"/>
        <v>2024-12</v>
      </c>
      <c r="F251" t="str">
        <f t="shared" si="7"/>
        <v>Fri</v>
      </c>
    </row>
    <row r="252" spans="1:6" x14ac:dyDescent="0.3">
      <c r="A252" s="1">
        <v>45633</v>
      </c>
      <c r="B252" t="s">
        <v>15</v>
      </c>
      <c r="C252">
        <v>36</v>
      </c>
      <c r="D252">
        <v>801000</v>
      </c>
      <c r="E252" t="str">
        <f t="shared" si="6"/>
        <v>2024-12</v>
      </c>
      <c r="F252" t="str">
        <f t="shared" si="7"/>
        <v>Sat</v>
      </c>
    </row>
    <row r="253" spans="1:6" x14ac:dyDescent="0.3">
      <c r="A253" s="1">
        <v>45634</v>
      </c>
      <c r="B253" t="s">
        <v>15</v>
      </c>
      <c r="C253">
        <v>41</v>
      </c>
      <c r="D253">
        <v>866000</v>
      </c>
      <c r="E253" t="str">
        <f t="shared" si="6"/>
        <v>2024-12</v>
      </c>
      <c r="F253" t="str">
        <f t="shared" si="7"/>
        <v>Sun</v>
      </c>
    </row>
    <row r="254" spans="1:6" x14ac:dyDescent="0.3">
      <c r="A254" s="1">
        <v>45635</v>
      </c>
      <c r="B254" t="s">
        <v>15</v>
      </c>
      <c r="C254">
        <v>21</v>
      </c>
      <c r="D254">
        <v>525000</v>
      </c>
      <c r="E254" t="str">
        <f t="shared" si="6"/>
        <v>2024-12</v>
      </c>
      <c r="F254" t="str">
        <f t="shared" si="7"/>
        <v>Mon</v>
      </c>
    </row>
    <row r="255" spans="1:6" x14ac:dyDescent="0.3">
      <c r="A255" s="1">
        <v>45636</v>
      </c>
      <c r="B255" t="s">
        <v>15</v>
      </c>
      <c r="C255">
        <v>28</v>
      </c>
      <c r="D255">
        <v>567000</v>
      </c>
      <c r="E255" t="str">
        <f t="shared" si="6"/>
        <v>2024-12</v>
      </c>
      <c r="F255" t="str">
        <f t="shared" si="7"/>
        <v>Tue</v>
      </c>
    </row>
    <row r="256" spans="1:6" x14ac:dyDescent="0.3">
      <c r="A256" s="1">
        <v>45637</v>
      </c>
      <c r="B256" t="s">
        <v>15</v>
      </c>
      <c r="C256">
        <v>24</v>
      </c>
      <c r="D256">
        <v>550000</v>
      </c>
      <c r="E256" t="str">
        <f t="shared" si="6"/>
        <v>2024-12</v>
      </c>
      <c r="F256" t="str">
        <f t="shared" si="7"/>
        <v>Wed</v>
      </c>
    </row>
    <row r="257" spans="1:6" x14ac:dyDescent="0.3">
      <c r="A257" s="1">
        <v>45638</v>
      </c>
      <c r="B257" t="s">
        <v>15</v>
      </c>
      <c r="C257">
        <v>24</v>
      </c>
      <c r="D257">
        <v>521000</v>
      </c>
      <c r="E257" t="str">
        <f t="shared" si="6"/>
        <v>2024-12</v>
      </c>
      <c r="F257" t="str">
        <f t="shared" si="7"/>
        <v>Thu</v>
      </c>
    </row>
    <row r="258" spans="1:6" x14ac:dyDescent="0.3">
      <c r="A258" s="1">
        <v>45639</v>
      </c>
      <c r="B258" t="s">
        <v>15</v>
      </c>
      <c r="C258">
        <v>32</v>
      </c>
      <c r="D258">
        <v>707000</v>
      </c>
      <c r="E258" t="str">
        <f t="shared" ref="E258:E321" si="8">TEXT(A258,"yyyy-mm")</f>
        <v>2024-12</v>
      </c>
      <c r="F258" t="str">
        <f t="shared" ref="F258:F321" si="9">TEXT(A258,"ddd")</f>
        <v>Fri</v>
      </c>
    </row>
    <row r="259" spans="1:6" x14ac:dyDescent="0.3">
      <c r="A259" s="1">
        <v>45640</v>
      </c>
      <c r="B259" t="s">
        <v>15</v>
      </c>
      <c r="C259">
        <v>47</v>
      </c>
      <c r="D259">
        <v>885000</v>
      </c>
      <c r="E259" t="str">
        <f t="shared" si="8"/>
        <v>2024-12</v>
      </c>
      <c r="F259" t="str">
        <f t="shared" si="9"/>
        <v>Sat</v>
      </c>
    </row>
    <row r="260" spans="1:6" x14ac:dyDescent="0.3">
      <c r="A260" s="1">
        <v>45641</v>
      </c>
      <c r="B260" t="s">
        <v>15</v>
      </c>
      <c r="C260">
        <v>31</v>
      </c>
      <c r="D260">
        <v>754000</v>
      </c>
      <c r="E260" t="str">
        <f t="shared" si="8"/>
        <v>2024-12</v>
      </c>
      <c r="F260" t="str">
        <f t="shared" si="9"/>
        <v>Sun</v>
      </c>
    </row>
    <row r="261" spans="1:6" x14ac:dyDescent="0.3">
      <c r="A261" s="1">
        <v>45642</v>
      </c>
      <c r="B261" t="s">
        <v>15</v>
      </c>
      <c r="C261">
        <v>27</v>
      </c>
      <c r="D261">
        <v>551000</v>
      </c>
      <c r="E261" t="str">
        <f t="shared" si="8"/>
        <v>2024-12</v>
      </c>
      <c r="F261" t="str">
        <f t="shared" si="9"/>
        <v>Mon</v>
      </c>
    </row>
    <row r="262" spans="1:6" x14ac:dyDescent="0.3">
      <c r="A262" s="1">
        <v>45643</v>
      </c>
      <c r="B262" t="s">
        <v>15</v>
      </c>
      <c r="C262">
        <v>28</v>
      </c>
      <c r="D262">
        <v>593000</v>
      </c>
      <c r="E262" t="str">
        <f t="shared" si="8"/>
        <v>2024-12</v>
      </c>
      <c r="F262" t="str">
        <f t="shared" si="9"/>
        <v>Tue</v>
      </c>
    </row>
    <row r="263" spans="1:6" x14ac:dyDescent="0.3">
      <c r="A263" s="1">
        <v>45644</v>
      </c>
      <c r="B263" t="s">
        <v>15</v>
      </c>
      <c r="C263">
        <v>27</v>
      </c>
      <c r="D263">
        <v>511000</v>
      </c>
      <c r="E263" t="str">
        <f t="shared" si="8"/>
        <v>2024-12</v>
      </c>
      <c r="F263" t="str">
        <f t="shared" si="9"/>
        <v>Wed</v>
      </c>
    </row>
    <row r="264" spans="1:6" x14ac:dyDescent="0.3">
      <c r="A264" s="1">
        <v>45645</v>
      </c>
      <c r="B264" t="s">
        <v>15</v>
      </c>
      <c r="C264">
        <v>32</v>
      </c>
      <c r="D264">
        <v>623000</v>
      </c>
      <c r="E264" t="str">
        <f t="shared" si="8"/>
        <v>2024-12</v>
      </c>
      <c r="F264" t="str">
        <f t="shared" si="9"/>
        <v>Thu</v>
      </c>
    </row>
    <row r="265" spans="1:6" x14ac:dyDescent="0.3">
      <c r="A265" s="1">
        <v>45646</v>
      </c>
      <c r="B265" t="s">
        <v>15</v>
      </c>
      <c r="C265">
        <v>24</v>
      </c>
      <c r="D265">
        <v>520000</v>
      </c>
      <c r="E265" t="str">
        <f t="shared" si="8"/>
        <v>2024-12</v>
      </c>
      <c r="F265" t="str">
        <f t="shared" si="9"/>
        <v>Fri</v>
      </c>
    </row>
    <row r="266" spans="1:6" x14ac:dyDescent="0.3">
      <c r="A266" s="1">
        <v>45647</v>
      </c>
      <c r="B266" t="s">
        <v>15</v>
      </c>
      <c r="C266">
        <v>34</v>
      </c>
      <c r="D266">
        <v>788000</v>
      </c>
      <c r="E266" t="str">
        <f t="shared" si="8"/>
        <v>2024-12</v>
      </c>
      <c r="F266" t="str">
        <f t="shared" si="9"/>
        <v>Sat</v>
      </c>
    </row>
    <row r="267" spans="1:6" x14ac:dyDescent="0.3">
      <c r="A267" s="1">
        <v>45648</v>
      </c>
      <c r="B267" t="s">
        <v>15</v>
      </c>
      <c r="C267">
        <v>33</v>
      </c>
      <c r="D267">
        <v>735000</v>
      </c>
      <c r="E267" t="str">
        <f t="shared" si="8"/>
        <v>2024-12</v>
      </c>
      <c r="F267" t="str">
        <f t="shared" si="9"/>
        <v>Sun</v>
      </c>
    </row>
    <row r="268" spans="1:6" x14ac:dyDescent="0.3">
      <c r="A268" s="1">
        <v>45649</v>
      </c>
      <c r="B268" t="s">
        <v>15</v>
      </c>
      <c r="C268">
        <v>24</v>
      </c>
      <c r="D268">
        <v>570000</v>
      </c>
      <c r="E268" t="str">
        <f t="shared" si="8"/>
        <v>2024-12</v>
      </c>
      <c r="F268" t="str">
        <f t="shared" si="9"/>
        <v>Mon</v>
      </c>
    </row>
    <row r="269" spans="1:6" x14ac:dyDescent="0.3">
      <c r="A269" s="1">
        <v>45650</v>
      </c>
      <c r="B269" t="s">
        <v>15</v>
      </c>
      <c r="C269">
        <v>23</v>
      </c>
      <c r="D269">
        <v>519000</v>
      </c>
      <c r="E269" t="str">
        <f t="shared" si="8"/>
        <v>2024-12</v>
      </c>
      <c r="F269" t="str">
        <f t="shared" si="9"/>
        <v>Tue</v>
      </c>
    </row>
    <row r="270" spans="1:6" x14ac:dyDescent="0.3">
      <c r="A270" s="1">
        <v>45651</v>
      </c>
      <c r="B270" t="s">
        <v>15</v>
      </c>
      <c r="C270">
        <v>24</v>
      </c>
      <c r="D270">
        <v>505000</v>
      </c>
      <c r="E270" t="str">
        <f t="shared" si="8"/>
        <v>2024-12</v>
      </c>
      <c r="F270" t="str">
        <f t="shared" si="9"/>
        <v>Wed</v>
      </c>
    </row>
    <row r="271" spans="1:6" x14ac:dyDescent="0.3">
      <c r="A271" s="1">
        <v>45652</v>
      </c>
      <c r="B271" t="s">
        <v>15</v>
      </c>
      <c r="C271">
        <v>24</v>
      </c>
      <c r="D271">
        <v>541000</v>
      </c>
      <c r="E271" t="str">
        <f t="shared" si="8"/>
        <v>2024-12</v>
      </c>
      <c r="F271" t="str">
        <f t="shared" si="9"/>
        <v>Thu</v>
      </c>
    </row>
    <row r="272" spans="1:6" x14ac:dyDescent="0.3">
      <c r="A272" s="1">
        <v>45653</v>
      </c>
      <c r="B272" t="s">
        <v>15</v>
      </c>
      <c r="C272">
        <v>25</v>
      </c>
      <c r="D272">
        <v>559000</v>
      </c>
      <c r="E272" t="str">
        <f t="shared" si="8"/>
        <v>2024-12</v>
      </c>
      <c r="F272" t="str">
        <f t="shared" si="9"/>
        <v>Fri</v>
      </c>
    </row>
    <row r="273" spans="1:6" x14ac:dyDescent="0.3">
      <c r="A273" s="1">
        <v>45654</v>
      </c>
      <c r="B273" t="s">
        <v>15</v>
      </c>
      <c r="C273">
        <v>38</v>
      </c>
      <c r="D273">
        <v>796000</v>
      </c>
      <c r="E273" t="str">
        <f t="shared" si="8"/>
        <v>2024-12</v>
      </c>
      <c r="F273" t="str">
        <f t="shared" si="9"/>
        <v>Sat</v>
      </c>
    </row>
    <row r="274" spans="1:6" x14ac:dyDescent="0.3">
      <c r="A274" s="1">
        <v>45655</v>
      </c>
      <c r="B274" t="s">
        <v>15</v>
      </c>
      <c r="C274">
        <v>37</v>
      </c>
      <c r="D274">
        <v>826000</v>
      </c>
      <c r="E274" t="str">
        <f t="shared" si="8"/>
        <v>2024-12</v>
      </c>
      <c r="F274" t="str">
        <f t="shared" si="9"/>
        <v>Sun</v>
      </c>
    </row>
    <row r="275" spans="1:6" x14ac:dyDescent="0.3">
      <c r="A275" s="1">
        <v>45656</v>
      </c>
      <c r="B275" t="s">
        <v>15</v>
      </c>
      <c r="C275">
        <v>29</v>
      </c>
      <c r="D275">
        <v>692000</v>
      </c>
      <c r="E275" t="str">
        <f t="shared" si="8"/>
        <v>2024-12</v>
      </c>
      <c r="F275" t="str">
        <f t="shared" si="9"/>
        <v>Mon</v>
      </c>
    </row>
    <row r="276" spans="1:6" x14ac:dyDescent="0.3">
      <c r="A276" s="1">
        <v>45657</v>
      </c>
      <c r="B276" t="s">
        <v>15</v>
      </c>
      <c r="C276">
        <v>30</v>
      </c>
      <c r="D276">
        <v>649000</v>
      </c>
      <c r="E276" t="str">
        <f t="shared" si="8"/>
        <v>2024-12</v>
      </c>
      <c r="F276" t="str">
        <f t="shared" si="9"/>
        <v>Tue</v>
      </c>
    </row>
    <row r="277" spans="1:6" x14ac:dyDescent="0.3">
      <c r="A277" s="1">
        <v>45658</v>
      </c>
      <c r="B277" t="s">
        <v>15</v>
      </c>
      <c r="C277">
        <v>16</v>
      </c>
      <c r="D277">
        <v>322000</v>
      </c>
      <c r="E277" t="str">
        <f t="shared" si="8"/>
        <v>2025-01</v>
      </c>
      <c r="F277" t="str">
        <f t="shared" si="9"/>
        <v>Wed</v>
      </c>
    </row>
    <row r="278" spans="1:6" x14ac:dyDescent="0.3">
      <c r="A278" s="1">
        <v>45659</v>
      </c>
      <c r="B278" t="s">
        <v>15</v>
      </c>
      <c r="C278">
        <v>16</v>
      </c>
      <c r="D278">
        <v>354000</v>
      </c>
      <c r="E278" t="str">
        <f t="shared" si="8"/>
        <v>2025-01</v>
      </c>
      <c r="F278" t="str">
        <f t="shared" si="9"/>
        <v>Thu</v>
      </c>
    </row>
    <row r="279" spans="1:6" x14ac:dyDescent="0.3">
      <c r="A279" s="1">
        <v>45660</v>
      </c>
      <c r="B279" t="s">
        <v>15</v>
      </c>
      <c r="C279">
        <v>12</v>
      </c>
      <c r="D279">
        <v>308000</v>
      </c>
      <c r="E279" t="str">
        <f t="shared" si="8"/>
        <v>2025-01</v>
      </c>
      <c r="F279" t="str">
        <f t="shared" si="9"/>
        <v>Fri</v>
      </c>
    </row>
    <row r="280" spans="1:6" x14ac:dyDescent="0.3">
      <c r="A280" s="1">
        <v>45661</v>
      </c>
      <c r="B280" t="s">
        <v>15</v>
      </c>
      <c r="C280">
        <v>25</v>
      </c>
      <c r="D280">
        <v>518000</v>
      </c>
      <c r="E280" t="str">
        <f t="shared" si="8"/>
        <v>2025-01</v>
      </c>
      <c r="F280" t="str">
        <f t="shared" si="9"/>
        <v>Sat</v>
      </c>
    </row>
    <row r="281" spans="1:6" x14ac:dyDescent="0.3">
      <c r="A281" s="1">
        <v>45662</v>
      </c>
      <c r="B281" t="s">
        <v>15</v>
      </c>
      <c r="C281">
        <v>23</v>
      </c>
      <c r="D281">
        <v>478000</v>
      </c>
      <c r="E281" t="str">
        <f t="shared" si="8"/>
        <v>2025-01</v>
      </c>
      <c r="F281" t="str">
        <f t="shared" si="9"/>
        <v>Sun</v>
      </c>
    </row>
    <row r="282" spans="1:6" x14ac:dyDescent="0.3">
      <c r="A282" s="1">
        <v>45663</v>
      </c>
      <c r="B282" t="s">
        <v>15</v>
      </c>
      <c r="C282">
        <v>14</v>
      </c>
      <c r="D282">
        <v>286000</v>
      </c>
      <c r="E282" t="str">
        <f t="shared" si="8"/>
        <v>2025-01</v>
      </c>
      <c r="F282" t="str">
        <f t="shared" si="9"/>
        <v>Mon</v>
      </c>
    </row>
    <row r="283" spans="1:6" x14ac:dyDescent="0.3">
      <c r="A283" s="1">
        <v>45664</v>
      </c>
      <c r="B283" t="s">
        <v>15</v>
      </c>
      <c r="C283">
        <v>15</v>
      </c>
      <c r="D283">
        <v>356000</v>
      </c>
      <c r="E283" t="str">
        <f t="shared" si="8"/>
        <v>2025-01</v>
      </c>
      <c r="F283" t="str">
        <f t="shared" si="9"/>
        <v>Tue</v>
      </c>
    </row>
    <row r="284" spans="1:6" x14ac:dyDescent="0.3">
      <c r="A284" s="1">
        <v>45665</v>
      </c>
      <c r="B284" t="s">
        <v>15</v>
      </c>
      <c r="C284">
        <v>21</v>
      </c>
      <c r="D284">
        <v>358000</v>
      </c>
      <c r="E284" t="str">
        <f t="shared" si="8"/>
        <v>2025-01</v>
      </c>
      <c r="F284" t="str">
        <f t="shared" si="9"/>
        <v>Wed</v>
      </c>
    </row>
    <row r="285" spans="1:6" x14ac:dyDescent="0.3">
      <c r="A285" s="1">
        <v>45666</v>
      </c>
      <c r="B285" t="s">
        <v>15</v>
      </c>
      <c r="C285">
        <v>11</v>
      </c>
      <c r="D285">
        <v>242000</v>
      </c>
      <c r="E285" t="str">
        <f t="shared" si="8"/>
        <v>2025-01</v>
      </c>
      <c r="F285" t="str">
        <f t="shared" si="9"/>
        <v>Thu</v>
      </c>
    </row>
    <row r="286" spans="1:6" x14ac:dyDescent="0.3">
      <c r="A286" s="1">
        <v>45667</v>
      </c>
      <c r="B286" t="s">
        <v>15</v>
      </c>
      <c r="C286">
        <v>13</v>
      </c>
      <c r="D286">
        <v>307000</v>
      </c>
      <c r="E286" t="str">
        <f t="shared" si="8"/>
        <v>2025-01</v>
      </c>
      <c r="F286" t="str">
        <f t="shared" si="9"/>
        <v>Fri</v>
      </c>
    </row>
    <row r="287" spans="1:6" x14ac:dyDescent="0.3">
      <c r="A287" s="1">
        <v>45668</v>
      </c>
      <c r="B287" t="s">
        <v>15</v>
      </c>
      <c r="C287">
        <v>22</v>
      </c>
      <c r="D287">
        <v>432000</v>
      </c>
      <c r="E287" t="str">
        <f t="shared" si="8"/>
        <v>2025-01</v>
      </c>
      <c r="F287" t="str">
        <f t="shared" si="9"/>
        <v>Sat</v>
      </c>
    </row>
    <row r="288" spans="1:6" x14ac:dyDescent="0.3">
      <c r="A288" s="1">
        <v>45669</v>
      </c>
      <c r="B288" t="s">
        <v>15</v>
      </c>
      <c r="C288">
        <v>15</v>
      </c>
      <c r="D288">
        <v>367000</v>
      </c>
      <c r="E288" t="str">
        <f t="shared" si="8"/>
        <v>2025-01</v>
      </c>
      <c r="F288" t="str">
        <f t="shared" si="9"/>
        <v>Sun</v>
      </c>
    </row>
    <row r="289" spans="1:6" x14ac:dyDescent="0.3">
      <c r="A289" s="1">
        <v>45670</v>
      </c>
      <c r="B289" t="s">
        <v>15</v>
      </c>
      <c r="C289">
        <v>13</v>
      </c>
      <c r="D289">
        <v>297000</v>
      </c>
      <c r="E289" t="str">
        <f t="shared" si="8"/>
        <v>2025-01</v>
      </c>
      <c r="F289" t="str">
        <f t="shared" si="9"/>
        <v>Mon</v>
      </c>
    </row>
    <row r="290" spans="1:6" x14ac:dyDescent="0.3">
      <c r="A290" s="1">
        <v>45671</v>
      </c>
      <c r="B290" t="s">
        <v>15</v>
      </c>
      <c r="C290">
        <v>15</v>
      </c>
      <c r="D290">
        <v>301000</v>
      </c>
      <c r="E290" t="str">
        <f t="shared" si="8"/>
        <v>2025-01</v>
      </c>
      <c r="F290" t="str">
        <f t="shared" si="9"/>
        <v>Tue</v>
      </c>
    </row>
    <row r="291" spans="1:6" x14ac:dyDescent="0.3">
      <c r="A291" s="1">
        <v>45672</v>
      </c>
      <c r="B291" t="s">
        <v>15</v>
      </c>
      <c r="C291">
        <v>16</v>
      </c>
      <c r="D291">
        <v>349000</v>
      </c>
      <c r="E291" t="str">
        <f t="shared" si="8"/>
        <v>2025-01</v>
      </c>
      <c r="F291" t="str">
        <f t="shared" si="9"/>
        <v>Wed</v>
      </c>
    </row>
    <row r="292" spans="1:6" x14ac:dyDescent="0.3">
      <c r="A292" s="1">
        <v>45673</v>
      </c>
      <c r="B292" t="s">
        <v>15</v>
      </c>
      <c r="C292">
        <v>19</v>
      </c>
      <c r="D292">
        <v>342000</v>
      </c>
      <c r="E292" t="str">
        <f t="shared" si="8"/>
        <v>2025-01</v>
      </c>
      <c r="F292" t="str">
        <f t="shared" si="9"/>
        <v>Thu</v>
      </c>
    </row>
    <row r="293" spans="1:6" x14ac:dyDescent="0.3">
      <c r="A293" s="1">
        <v>45674</v>
      </c>
      <c r="B293" t="s">
        <v>15</v>
      </c>
      <c r="C293">
        <v>21</v>
      </c>
      <c r="D293">
        <v>420000</v>
      </c>
      <c r="E293" t="str">
        <f t="shared" si="8"/>
        <v>2025-01</v>
      </c>
      <c r="F293" t="str">
        <f t="shared" si="9"/>
        <v>Fri</v>
      </c>
    </row>
    <row r="294" spans="1:6" x14ac:dyDescent="0.3">
      <c r="A294" s="1">
        <v>45675</v>
      </c>
      <c r="B294" t="s">
        <v>15</v>
      </c>
      <c r="C294">
        <v>18</v>
      </c>
      <c r="D294">
        <v>437000</v>
      </c>
      <c r="E294" t="str">
        <f t="shared" si="8"/>
        <v>2025-01</v>
      </c>
      <c r="F294" t="str">
        <f t="shared" si="9"/>
        <v>Sat</v>
      </c>
    </row>
    <row r="295" spans="1:6" x14ac:dyDescent="0.3">
      <c r="A295" s="1">
        <v>45676</v>
      </c>
      <c r="B295" t="s">
        <v>15</v>
      </c>
      <c r="C295">
        <v>26</v>
      </c>
      <c r="D295">
        <v>508000</v>
      </c>
      <c r="E295" t="str">
        <f t="shared" si="8"/>
        <v>2025-01</v>
      </c>
      <c r="F295" t="str">
        <f t="shared" si="9"/>
        <v>Sun</v>
      </c>
    </row>
    <row r="296" spans="1:6" x14ac:dyDescent="0.3">
      <c r="A296" s="1">
        <v>45677</v>
      </c>
      <c r="B296" t="s">
        <v>15</v>
      </c>
      <c r="C296">
        <v>14</v>
      </c>
      <c r="D296">
        <v>336000</v>
      </c>
      <c r="E296" t="str">
        <f t="shared" si="8"/>
        <v>2025-01</v>
      </c>
      <c r="F296" t="str">
        <f t="shared" si="9"/>
        <v>Mon</v>
      </c>
    </row>
    <row r="297" spans="1:6" x14ac:dyDescent="0.3">
      <c r="A297" s="1">
        <v>45678</v>
      </c>
      <c r="B297" t="s">
        <v>15</v>
      </c>
      <c r="C297">
        <v>16</v>
      </c>
      <c r="D297">
        <v>342000</v>
      </c>
      <c r="E297" t="str">
        <f t="shared" si="8"/>
        <v>2025-01</v>
      </c>
      <c r="F297" t="str">
        <f t="shared" si="9"/>
        <v>Tue</v>
      </c>
    </row>
    <row r="298" spans="1:6" x14ac:dyDescent="0.3">
      <c r="A298" s="1">
        <v>45679</v>
      </c>
      <c r="B298" t="s">
        <v>15</v>
      </c>
      <c r="C298">
        <v>23</v>
      </c>
      <c r="D298">
        <v>536000</v>
      </c>
      <c r="E298" t="str">
        <f t="shared" si="8"/>
        <v>2025-01</v>
      </c>
      <c r="F298" t="str">
        <f t="shared" si="9"/>
        <v>Wed</v>
      </c>
    </row>
    <row r="299" spans="1:6" x14ac:dyDescent="0.3">
      <c r="A299" s="1">
        <v>45680</v>
      </c>
      <c r="B299" t="s">
        <v>15</v>
      </c>
      <c r="C299">
        <v>23</v>
      </c>
      <c r="D299">
        <v>490000</v>
      </c>
      <c r="E299" t="str">
        <f t="shared" si="8"/>
        <v>2025-01</v>
      </c>
      <c r="F299" t="str">
        <f t="shared" si="9"/>
        <v>Thu</v>
      </c>
    </row>
    <row r="300" spans="1:6" x14ac:dyDescent="0.3">
      <c r="A300" s="1">
        <v>45681</v>
      </c>
      <c r="B300" t="s">
        <v>15</v>
      </c>
      <c r="C300">
        <v>34</v>
      </c>
      <c r="D300">
        <v>560000</v>
      </c>
      <c r="E300" t="str">
        <f t="shared" si="8"/>
        <v>2025-01</v>
      </c>
      <c r="F300" t="str">
        <f t="shared" si="9"/>
        <v>Fri</v>
      </c>
    </row>
    <row r="301" spans="1:6" x14ac:dyDescent="0.3">
      <c r="A301" s="1">
        <v>45682</v>
      </c>
      <c r="B301" t="s">
        <v>15</v>
      </c>
      <c r="C301">
        <v>45</v>
      </c>
      <c r="D301">
        <v>893000</v>
      </c>
      <c r="E301" t="str">
        <f t="shared" si="8"/>
        <v>2025-01</v>
      </c>
      <c r="F301" t="str">
        <f t="shared" si="9"/>
        <v>Sat</v>
      </c>
    </row>
    <row r="302" spans="1:6" x14ac:dyDescent="0.3">
      <c r="A302" s="1">
        <v>45683</v>
      </c>
      <c r="B302" t="s">
        <v>15</v>
      </c>
      <c r="C302">
        <v>45</v>
      </c>
      <c r="D302">
        <v>962000</v>
      </c>
      <c r="E302" t="str">
        <f t="shared" si="8"/>
        <v>2025-01</v>
      </c>
      <c r="F302" t="str">
        <f t="shared" si="9"/>
        <v>Sun</v>
      </c>
    </row>
    <row r="303" spans="1:6" x14ac:dyDescent="0.3">
      <c r="A303" s="1">
        <v>45684</v>
      </c>
      <c r="B303" t="s">
        <v>15</v>
      </c>
      <c r="C303">
        <v>34</v>
      </c>
      <c r="D303">
        <v>644000</v>
      </c>
      <c r="E303" t="str">
        <f t="shared" si="8"/>
        <v>2025-01</v>
      </c>
      <c r="F303" t="str">
        <f t="shared" si="9"/>
        <v>Mon</v>
      </c>
    </row>
    <row r="304" spans="1:6" x14ac:dyDescent="0.3">
      <c r="A304" s="1">
        <v>45685</v>
      </c>
      <c r="B304" t="s">
        <v>15</v>
      </c>
      <c r="C304">
        <v>35</v>
      </c>
      <c r="D304">
        <v>638000</v>
      </c>
      <c r="E304" t="str">
        <f t="shared" si="8"/>
        <v>2025-01</v>
      </c>
      <c r="F304" t="str">
        <f t="shared" si="9"/>
        <v>Tue</v>
      </c>
    </row>
    <row r="305" spans="1:6" x14ac:dyDescent="0.3">
      <c r="A305" s="1">
        <v>45686</v>
      </c>
      <c r="B305" t="s">
        <v>15</v>
      </c>
      <c r="C305">
        <v>26</v>
      </c>
      <c r="D305">
        <v>557000</v>
      </c>
      <c r="E305" t="str">
        <f t="shared" si="8"/>
        <v>2025-01</v>
      </c>
      <c r="F305" t="str">
        <f t="shared" si="9"/>
        <v>Wed</v>
      </c>
    </row>
    <row r="306" spans="1:6" x14ac:dyDescent="0.3">
      <c r="A306" s="1">
        <v>45687</v>
      </c>
      <c r="B306" t="s">
        <v>15</v>
      </c>
      <c r="C306">
        <v>36</v>
      </c>
      <c r="D306">
        <v>701000</v>
      </c>
      <c r="E306" t="str">
        <f t="shared" si="8"/>
        <v>2025-01</v>
      </c>
      <c r="F306" t="str">
        <f t="shared" si="9"/>
        <v>Thu</v>
      </c>
    </row>
    <row r="307" spans="1:6" x14ac:dyDescent="0.3">
      <c r="A307" s="1">
        <v>45688</v>
      </c>
      <c r="B307" t="s">
        <v>15</v>
      </c>
      <c r="C307">
        <v>39</v>
      </c>
      <c r="D307">
        <v>690000</v>
      </c>
      <c r="E307" t="str">
        <f t="shared" si="8"/>
        <v>2025-01</v>
      </c>
      <c r="F307" t="str">
        <f t="shared" si="9"/>
        <v>Fri</v>
      </c>
    </row>
    <row r="308" spans="1:6" x14ac:dyDescent="0.3">
      <c r="A308" s="1">
        <v>45689</v>
      </c>
      <c r="B308" t="s">
        <v>15</v>
      </c>
      <c r="C308">
        <v>40</v>
      </c>
      <c r="D308">
        <v>788000</v>
      </c>
      <c r="E308" t="str">
        <f t="shared" si="8"/>
        <v>2025-02</v>
      </c>
      <c r="F308" t="str">
        <f t="shared" si="9"/>
        <v>Sat</v>
      </c>
    </row>
    <row r="309" spans="1:6" x14ac:dyDescent="0.3">
      <c r="A309" s="1">
        <v>45690</v>
      </c>
      <c r="B309" t="s">
        <v>15</v>
      </c>
      <c r="C309">
        <v>36</v>
      </c>
      <c r="D309">
        <v>829000</v>
      </c>
      <c r="E309" t="str">
        <f t="shared" si="8"/>
        <v>2025-02</v>
      </c>
      <c r="F309" t="str">
        <f t="shared" si="9"/>
        <v>Sun</v>
      </c>
    </row>
    <row r="310" spans="1:6" x14ac:dyDescent="0.3">
      <c r="A310" s="1">
        <v>45691</v>
      </c>
      <c r="B310" t="s">
        <v>15</v>
      </c>
      <c r="C310">
        <v>27</v>
      </c>
      <c r="D310">
        <v>548000</v>
      </c>
      <c r="E310" t="str">
        <f t="shared" si="8"/>
        <v>2025-02</v>
      </c>
      <c r="F310" t="str">
        <f t="shared" si="9"/>
        <v>Mon</v>
      </c>
    </row>
    <row r="311" spans="1:6" x14ac:dyDescent="0.3">
      <c r="A311" s="1">
        <v>45692</v>
      </c>
      <c r="B311" t="s">
        <v>15</v>
      </c>
      <c r="C311">
        <v>31</v>
      </c>
      <c r="D311">
        <v>698000</v>
      </c>
      <c r="E311" t="str">
        <f t="shared" si="8"/>
        <v>2025-02</v>
      </c>
      <c r="F311" t="str">
        <f t="shared" si="9"/>
        <v>Tue</v>
      </c>
    </row>
    <row r="312" spans="1:6" x14ac:dyDescent="0.3">
      <c r="A312" s="1">
        <v>45693</v>
      </c>
      <c r="B312" t="s">
        <v>15</v>
      </c>
      <c r="C312">
        <v>26</v>
      </c>
      <c r="D312">
        <v>634000</v>
      </c>
      <c r="E312" t="str">
        <f t="shared" si="8"/>
        <v>2025-02</v>
      </c>
      <c r="F312" t="str">
        <f t="shared" si="9"/>
        <v>Wed</v>
      </c>
    </row>
    <row r="313" spans="1:6" x14ac:dyDescent="0.3">
      <c r="A313" s="1">
        <v>45694</v>
      </c>
      <c r="B313" t="s">
        <v>15</v>
      </c>
      <c r="C313">
        <v>29</v>
      </c>
      <c r="D313">
        <v>604000</v>
      </c>
      <c r="E313" t="str">
        <f t="shared" si="8"/>
        <v>2025-02</v>
      </c>
      <c r="F313" t="str">
        <f t="shared" si="9"/>
        <v>Thu</v>
      </c>
    </row>
    <row r="314" spans="1:6" x14ac:dyDescent="0.3">
      <c r="A314" s="1">
        <v>45695</v>
      </c>
      <c r="B314" t="s">
        <v>15</v>
      </c>
      <c r="C314">
        <v>34</v>
      </c>
      <c r="D314">
        <v>635000</v>
      </c>
      <c r="E314" t="str">
        <f t="shared" si="8"/>
        <v>2025-02</v>
      </c>
      <c r="F314" t="str">
        <f t="shared" si="9"/>
        <v>Fri</v>
      </c>
    </row>
    <row r="315" spans="1:6" x14ac:dyDescent="0.3">
      <c r="A315" s="1">
        <v>45696</v>
      </c>
      <c r="B315" t="s">
        <v>15</v>
      </c>
      <c r="C315">
        <v>47</v>
      </c>
      <c r="D315">
        <v>872000</v>
      </c>
      <c r="E315" t="str">
        <f t="shared" si="8"/>
        <v>2025-02</v>
      </c>
      <c r="F315" t="str">
        <f t="shared" si="9"/>
        <v>Sat</v>
      </c>
    </row>
    <row r="316" spans="1:6" x14ac:dyDescent="0.3">
      <c r="A316" s="1">
        <v>45697</v>
      </c>
      <c r="B316" t="s">
        <v>15</v>
      </c>
      <c r="C316">
        <v>38</v>
      </c>
      <c r="D316">
        <v>801000</v>
      </c>
      <c r="E316" t="str">
        <f t="shared" si="8"/>
        <v>2025-02</v>
      </c>
      <c r="F316" t="str">
        <f t="shared" si="9"/>
        <v>Sun</v>
      </c>
    </row>
    <row r="317" spans="1:6" x14ac:dyDescent="0.3">
      <c r="A317" s="1">
        <v>45698</v>
      </c>
      <c r="B317" t="s">
        <v>15</v>
      </c>
      <c r="C317">
        <v>23</v>
      </c>
      <c r="D317">
        <v>535000</v>
      </c>
      <c r="E317" t="str">
        <f t="shared" si="8"/>
        <v>2025-02</v>
      </c>
      <c r="F317" t="str">
        <f t="shared" si="9"/>
        <v>Mon</v>
      </c>
    </row>
    <row r="318" spans="1:6" x14ac:dyDescent="0.3">
      <c r="A318" s="1">
        <v>45699</v>
      </c>
      <c r="B318" t="s">
        <v>15</v>
      </c>
      <c r="C318">
        <v>25</v>
      </c>
      <c r="D318">
        <v>532000</v>
      </c>
      <c r="E318" t="str">
        <f t="shared" si="8"/>
        <v>2025-02</v>
      </c>
      <c r="F318" t="str">
        <f t="shared" si="9"/>
        <v>Tue</v>
      </c>
    </row>
    <row r="319" spans="1:6" x14ac:dyDescent="0.3">
      <c r="A319" s="1">
        <v>45700</v>
      </c>
      <c r="B319" t="s">
        <v>15</v>
      </c>
      <c r="C319">
        <v>23</v>
      </c>
      <c r="D319">
        <v>505000</v>
      </c>
      <c r="E319" t="str">
        <f t="shared" si="8"/>
        <v>2025-02</v>
      </c>
      <c r="F319" t="str">
        <f t="shared" si="9"/>
        <v>Wed</v>
      </c>
    </row>
    <row r="320" spans="1:6" x14ac:dyDescent="0.3">
      <c r="A320" s="1">
        <v>45701</v>
      </c>
      <c r="B320" t="s">
        <v>15</v>
      </c>
      <c r="C320">
        <v>32</v>
      </c>
      <c r="D320">
        <v>639000</v>
      </c>
      <c r="E320" t="str">
        <f t="shared" si="8"/>
        <v>2025-02</v>
      </c>
      <c r="F320" t="str">
        <f t="shared" si="9"/>
        <v>Thu</v>
      </c>
    </row>
    <row r="321" spans="1:6" x14ac:dyDescent="0.3">
      <c r="A321" s="1">
        <v>45702</v>
      </c>
      <c r="B321" t="s">
        <v>15</v>
      </c>
      <c r="C321">
        <v>35</v>
      </c>
      <c r="D321">
        <v>747000</v>
      </c>
      <c r="E321" t="str">
        <f t="shared" si="8"/>
        <v>2025-02</v>
      </c>
      <c r="F321" t="str">
        <f t="shared" si="9"/>
        <v>Fri</v>
      </c>
    </row>
    <row r="322" spans="1:6" x14ac:dyDescent="0.3">
      <c r="A322" s="1">
        <v>45703</v>
      </c>
      <c r="B322" t="s">
        <v>15</v>
      </c>
      <c r="C322">
        <v>35</v>
      </c>
      <c r="D322">
        <v>695000</v>
      </c>
      <c r="E322" t="str">
        <f t="shared" ref="E322:E385" si="10">TEXT(A322,"yyyy-mm")</f>
        <v>2025-02</v>
      </c>
      <c r="F322" t="str">
        <f t="shared" ref="F322:F385" si="11">TEXT(A322,"ddd")</f>
        <v>Sat</v>
      </c>
    </row>
    <row r="323" spans="1:6" x14ac:dyDescent="0.3">
      <c r="A323" s="1">
        <v>45704</v>
      </c>
      <c r="B323" t="s">
        <v>15</v>
      </c>
      <c r="C323">
        <v>42</v>
      </c>
      <c r="D323">
        <v>849000</v>
      </c>
      <c r="E323" t="str">
        <f t="shared" si="10"/>
        <v>2025-02</v>
      </c>
      <c r="F323" t="str">
        <f t="shared" si="11"/>
        <v>Sun</v>
      </c>
    </row>
    <row r="324" spans="1:6" x14ac:dyDescent="0.3">
      <c r="A324" s="1">
        <v>45705</v>
      </c>
      <c r="B324" t="s">
        <v>15</v>
      </c>
      <c r="C324">
        <v>35</v>
      </c>
      <c r="D324">
        <v>637000</v>
      </c>
      <c r="E324" t="str">
        <f t="shared" si="10"/>
        <v>2025-02</v>
      </c>
      <c r="F324" t="str">
        <f t="shared" si="11"/>
        <v>Mon</v>
      </c>
    </row>
    <row r="325" spans="1:6" x14ac:dyDescent="0.3">
      <c r="A325" s="1">
        <v>45706</v>
      </c>
      <c r="B325" t="s">
        <v>15</v>
      </c>
      <c r="C325">
        <v>31</v>
      </c>
      <c r="D325">
        <v>552000</v>
      </c>
      <c r="E325" t="str">
        <f t="shared" si="10"/>
        <v>2025-02</v>
      </c>
      <c r="F325" t="str">
        <f t="shared" si="11"/>
        <v>Tue</v>
      </c>
    </row>
    <row r="326" spans="1:6" x14ac:dyDescent="0.3">
      <c r="A326" s="1">
        <v>45707</v>
      </c>
      <c r="B326" t="s">
        <v>15</v>
      </c>
      <c r="C326">
        <v>31</v>
      </c>
      <c r="D326">
        <v>625000</v>
      </c>
      <c r="E326" t="str">
        <f t="shared" si="10"/>
        <v>2025-02</v>
      </c>
      <c r="F326" t="str">
        <f t="shared" si="11"/>
        <v>Wed</v>
      </c>
    </row>
    <row r="327" spans="1:6" x14ac:dyDescent="0.3">
      <c r="A327" s="1">
        <v>45708</v>
      </c>
      <c r="B327" t="s">
        <v>15</v>
      </c>
      <c r="C327">
        <v>29</v>
      </c>
      <c r="D327">
        <v>546000</v>
      </c>
      <c r="E327" t="str">
        <f t="shared" si="10"/>
        <v>2025-02</v>
      </c>
      <c r="F327" t="str">
        <f t="shared" si="11"/>
        <v>Thu</v>
      </c>
    </row>
    <row r="328" spans="1:6" x14ac:dyDescent="0.3">
      <c r="A328" s="1">
        <v>45709</v>
      </c>
      <c r="B328" t="s">
        <v>15</v>
      </c>
      <c r="C328">
        <v>36</v>
      </c>
      <c r="D328">
        <v>687000</v>
      </c>
      <c r="E328" t="str">
        <f t="shared" si="10"/>
        <v>2025-02</v>
      </c>
      <c r="F328" t="str">
        <f t="shared" si="11"/>
        <v>Fri</v>
      </c>
    </row>
    <row r="329" spans="1:6" x14ac:dyDescent="0.3">
      <c r="A329" s="1">
        <v>45710</v>
      </c>
      <c r="B329" t="s">
        <v>15</v>
      </c>
      <c r="C329">
        <v>35</v>
      </c>
      <c r="D329">
        <v>790000</v>
      </c>
      <c r="E329" t="str">
        <f t="shared" si="10"/>
        <v>2025-02</v>
      </c>
      <c r="F329" t="str">
        <f t="shared" si="11"/>
        <v>Sat</v>
      </c>
    </row>
    <row r="330" spans="1:6" x14ac:dyDescent="0.3">
      <c r="A330" s="1">
        <v>45711</v>
      </c>
      <c r="B330" t="s">
        <v>15</v>
      </c>
      <c r="C330">
        <v>41</v>
      </c>
      <c r="D330">
        <v>848000</v>
      </c>
      <c r="E330" t="str">
        <f t="shared" si="10"/>
        <v>2025-02</v>
      </c>
      <c r="F330" t="str">
        <f t="shared" si="11"/>
        <v>Sun</v>
      </c>
    </row>
    <row r="331" spans="1:6" x14ac:dyDescent="0.3">
      <c r="A331" s="1">
        <v>45712</v>
      </c>
      <c r="B331" t="s">
        <v>15</v>
      </c>
      <c r="C331">
        <v>24</v>
      </c>
      <c r="D331">
        <v>656000</v>
      </c>
      <c r="E331" t="str">
        <f t="shared" si="10"/>
        <v>2025-02</v>
      </c>
      <c r="F331" t="str">
        <f t="shared" si="11"/>
        <v>Mon</v>
      </c>
    </row>
    <row r="332" spans="1:6" x14ac:dyDescent="0.3">
      <c r="A332" s="1">
        <v>45713</v>
      </c>
      <c r="B332" t="s">
        <v>15</v>
      </c>
      <c r="C332">
        <v>26</v>
      </c>
      <c r="D332">
        <v>588000</v>
      </c>
      <c r="E332" t="str">
        <f t="shared" si="10"/>
        <v>2025-02</v>
      </c>
      <c r="F332" t="str">
        <f t="shared" si="11"/>
        <v>Tue</v>
      </c>
    </row>
    <row r="333" spans="1:6" x14ac:dyDescent="0.3">
      <c r="A333" s="1">
        <v>45714</v>
      </c>
      <c r="B333" t="s">
        <v>15</v>
      </c>
      <c r="C333">
        <v>26</v>
      </c>
      <c r="D333">
        <v>504000</v>
      </c>
      <c r="E333" t="str">
        <f t="shared" si="10"/>
        <v>2025-02</v>
      </c>
      <c r="F333" t="str">
        <f t="shared" si="11"/>
        <v>Wed</v>
      </c>
    </row>
    <row r="334" spans="1:6" x14ac:dyDescent="0.3">
      <c r="A334" s="1">
        <v>45715</v>
      </c>
      <c r="B334" t="s">
        <v>15</v>
      </c>
      <c r="C334">
        <v>26</v>
      </c>
      <c r="D334">
        <v>582000</v>
      </c>
      <c r="E334" t="str">
        <f t="shared" si="10"/>
        <v>2025-02</v>
      </c>
      <c r="F334" t="str">
        <f t="shared" si="11"/>
        <v>Thu</v>
      </c>
    </row>
    <row r="335" spans="1:6" x14ac:dyDescent="0.3">
      <c r="A335" s="1">
        <v>45716</v>
      </c>
      <c r="B335" t="s">
        <v>15</v>
      </c>
      <c r="C335">
        <v>30</v>
      </c>
      <c r="D335">
        <v>662000</v>
      </c>
      <c r="E335" t="str">
        <f t="shared" si="10"/>
        <v>2025-02</v>
      </c>
      <c r="F335" t="str">
        <f t="shared" si="11"/>
        <v>Fri</v>
      </c>
    </row>
    <row r="336" spans="1:6" x14ac:dyDescent="0.3">
      <c r="A336" s="1">
        <v>45717</v>
      </c>
      <c r="B336" t="s">
        <v>15</v>
      </c>
      <c r="C336">
        <v>43</v>
      </c>
      <c r="D336">
        <v>835000</v>
      </c>
      <c r="E336" t="str">
        <f t="shared" si="10"/>
        <v>2025-03</v>
      </c>
      <c r="F336" t="str">
        <f t="shared" si="11"/>
        <v>Sat</v>
      </c>
    </row>
    <row r="337" spans="1:6" x14ac:dyDescent="0.3">
      <c r="A337" s="1">
        <v>45718</v>
      </c>
      <c r="B337" t="s">
        <v>15</v>
      </c>
      <c r="C337">
        <v>37</v>
      </c>
      <c r="D337">
        <v>862000</v>
      </c>
      <c r="E337" t="str">
        <f t="shared" si="10"/>
        <v>2025-03</v>
      </c>
      <c r="F337" t="str">
        <f t="shared" si="11"/>
        <v>Sun</v>
      </c>
    </row>
    <row r="338" spans="1:6" x14ac:dyDescent="0.3">
      <c r="A338" s="1">
        <v>45719</v>
      </c>
      <c r="B338" t="s">
        <v>15</v>
      </c>
      <c r="C338">
        <v>28</v>
      </c>
      <c r="D338">
        <v>549000</v>
      </c>
      <c r="E338" t="str">
        <f t="shared" si="10"/>
        <v>2025-03</v>
      </c>
      <c r="F338" t="str">
        <f t="shared" si="11"/>
        <v>Mon</v>
      </c>
    </row>
    <row r="339" spans="1:6" x14ac:dyDescent="0.3">
      <c r="A339" s="1">
        <v>45720</v>
      </c>
      <c r="B339" t="s">
        <v>15</v>
      </c>
      <c r="C339">
        <v>42</v>
      </c>
      <c r="D339">
        <v>625000</v>
      </c>
      <c r="E339" t="str">
        <f t="shared" si="10"/>
        <v>2025-03</v>
      </c>
      <c r="F339" t="str">
        <f t="shared" si="11"/>
        <v>Tue</v>
      </c>
    </row>
    <row r="340" spans="1:6" x14ac:dyDescent="0.3">
      <c r="A340" s="1">
        <v>45721</v>
      </c>
      <c r="B340" t="s">
        <v>15</v>
      </c>
      <c r="C340">
        <v>29</v>
      </c>
      <c r="D340">
        <v>661000</v>
      </c>
      <c r="E340" t="str">
        <f t="shared" si="10"/>
        <v>2025-03</v>
      </c>
      <c r="F340" t="str">
        <f t="shared" si="11"/>
        <v>Wed</v>
      </c>
    </row>
    <row r="341" spans="1:6" x14ac:dyDescent="0.3">
      <c r="A341" s="1">
        <v>45722</v>
      </c>
      <c r="B341" t="s">
        <v>15</v>
      </c>
      <c r="C341">
        <v>31</v>
      </c>
      <c r="D341">
        <v>619000</v>
      </c>
      <c r="E341" t="str">
        <f t="shared" si="10"/>
        <v>2025-03</v>
      </c>
      <c r="F341" t="str">
        <f t="shared" si="11"/>
        <v>Thu</v>
      </c>
    </row>
    <row r="342" spans="1:6" x14ac:dyDescent="0.3">
      <c r="A342" s="1">
        <v>45723</v>
      </c>
      <c r="B342" t="s">
        <v>15</v>
      </c>
      <c r="C342">
        <v>31</v>
      </c>
      <c r="D342">
        <v>734000</v>
      </c>
      <c r="E342" t="str">
        <f t="shared" si="10"/>
        <v>2025-03</v>
      </c>
      <c r="F342" t="str">
        <f t="shared" si="11"/>
        <v>Fri</v>
      </c>
    </row>
    <row r="343" spans="1:6" x14ac:dyDescent="0.3">
      <c r="A343" s="1">
        <v>45724</v>
      </c>
      <c r="B343" t="s">
        <v>15</v>
      </c>
      <c r="C343">
        <v>42</v>
      </c>
      <c r="D343">
        <v>827000</v>
      </c>
      <c r="E343" t="str">
        <f t="shared" si="10"/>
        <v>2025-03</v>
      </c>
      <c r="F343" t="str">
        <f t="shared" si="11"/>
        <v>Sat</v>
      </c>
    </row>
    <row r="344" spans="1:6" x14ac:dyDescent="0.3">
      <c r="A344" s="1">
        <v>45725</v>
      </c>
      <c r="B344" t="s">
        <v>15</v>
      </c>
      <c r="C344">
        <v>41</v>
      </c>
      <c r="D344">
        <v>757000</v>
      </c>
      <c r="E344" t="str">
        <f t="shared" si="10"/>
        <v>2025-03</v>
      </c>
      <c r="F344" t="str">
        <f t="shared" si="11"/>
        <v>Sun</v>
      </c>
    </row>
    <row r="345" spans="1:6" x14ac:dyDescent="0.3">
      <c r="A345" s="1">
        <v>45726</v>
      </c>
      <c r="B345" t="s">
        <v>15</v>
      </c>
      <c r="C345">
        <v>21</v>
      </c>
      <c r="D345">
        <v>518000</v>
      </c>
      <c r="E345" t="str">
        <f t="shared" si="10"/>
        <v>2025-03</v>
      </c>
      <c r="F345" t="str">
        <f t="shared" si="11"/>
        <v>Mon</v>
      </c>
    </row>
    <row r="346" spans="1:6" x14ac:dyDescent="0.3">
      <c r="A346" s="1">
        <v>45727</v>
      </c>
      <c r="B346" t="s">
        <v>15</v>
      </c>
      <c r="C346">
        <v>37</v>
      </c>
      <c r="D346">
        <v>689000</v>
      </c>
      <c r="E346" t="str">
        <f t="shared" si="10"/>
        <v>2025-03</v>
      </c>
      <c r="F346" t="str">
        <f t="shared" si="11"/>
        <v>Tue</v>
      </c>
    </row>
    <row r="347" spans="1:6" x14ac:dyDescent="0.3">
      <c r="A347" s="1">
        <v>45728</v>
      </c>
      <c r="B347" t="s">
        <v>15</v>
      </c>
      <c r="C347">
        <v>29</v>
      </c>
      <c r="D347">
        <v>614000</v>
      </c>
      <c r="E347" t="str">
        <f t="shared" si="10"/>
        <v>2025-03</v>
      </c>
      <c r="F347" t="str">
        <f t="shared" si="11"/>
        <v>Wed</v>
      </c>
    </row>
    <row r="348" spans="1:6" x14ac:dyDescent="0.3">
      <c r="A348" s="1">
        <v>45729</v>
      </c>
      <c r="B348" t="s">
        <v>15</v>
      </c>
      <c r="C348">
        <v>28</v>
      </c>
      <c r="D348">
        <v>681000</v>
      </c>
      <c r="E348" t="str">
        <f t="shared" si="10"/>
        <v>2025-03</v>
      </c>
      <c r="F348" t="str">
        <f t="shared" si="11"/>
        <v>Thu</v>
      </c>
    </row>
    <row r="349" spans="1:6" x14ac:dyDescent="0.3">
      <c r="A349" s="1">
        <v>45730</v>
      </c>
      <c r="B349" t="s">
        <v>15</v>
      </c>
      <c r="C349">
        <v>30</v>
      </c>
      <c r="D349">
        <v>647000</v>
      </c>
      <c r="E349" t="str">
        <f t="shared" si="10"/>
        <v>2025-03</v>
      </c>
      <c r="F349" t="str">
        <f t="shared" si="11"/>
        <v>Fri</v>
      </c>
    </row>
    <row r="350" spans="1:6" x14ac:dyDescent="0.3">
      <c r="A350" s="1">
        <v>45731</v>
      </c>
      <c r="B350" t="s">
        <v>15</v>
      </c>
      <c r="C350">
        <v>47</v>
      </c>
      <c r="D350">
        <v>984000</v>
      </c>
      <c r="E350" t="str">
        <f t="shared" si="10"/>
        <v>2025-03</v>
      </c>
      <c r="F350" t="str">
        <f t="shared" si="11"/>
        <v>Sat</v>
      </c>
    </row>
    <row r="351" spans="1:6" x14ac:dyDescent="0.3">
      <c r="A351" s="1">
        <v>45732</v>
      </c>
      <c r="B351" t="s">
        <v>15</v>
      </c>
      <c r="C351">
        <v>45</v>
      </c>
      <c r="D351">
        <v>954000</v>
      </c>
      <c r="E351" t="str">
        <f t="shared" si="10"/>
        <v>2025-03</v>
      </c>
      <c r="F351" t="str">
        <f t="shared" si="11"/>
        <v>Sun</v>
      </c>
    </row>
    <row r="352" spans="1:6" x14ac:dyDescent="0.3">
      <c r="A352" s="1">
        <v>45733</v>
      </c>
      <c r="B352" t="s">
        <v>15</v>
      </c>
      <c r="C352">
        <v>26</v>
      </c>
      <c r="D352">
        <v>596000</v>
      </c>
      <c r="E352" t="str">
        <f t="shared" si="10"/>
        <v>2025-03</v>
      </c>
      <c r="F352" t="str">
        <f t="shared" si="11"/>
        <v>Mon</v>
      </c>
    </row>
    <row r="353" spans="1:6" x14ac:dyDescent="0.3">
      <c r="A353" s="1">
        <v>45734</v>
      </c>
      <c r="B353" t="s">
        <v>15</v>
      </c>
      <c r="C353">
        <v>33</v>
      </c>
      <c r="D353">
        <v>636000</v>
      </c>
      <c r="E353" t="str">
        <f t="shared" si="10"/>
        <v>2025-03</v>
      </c>
      <c r="F353" t="str">
        <f t="shared" si="11"/>
        <v>Tue</v>
      </c>
    </row>
    <row r="354" spans="1:6" x14ac:dyDescent="0.3">
      <c r="A354" s="1">
        <v>45735</v>
      </c>
      <c r="B354" t="s">
        <v>15</v>
      </c>
      <c r="C354">
        <v>31</v>
      </c>
      <c r="D354">
        <v>687000</v>
      </c>
      <c r="E354" t="str">
        <f t="shared" si="10"/>
        <v>2025-03</v>
      </c>
      <c r="F354" t="str">
        <f t="shared" si="11"/>
        <v>Wed</v>
      </c>
    </row>
    <row r="355" spans="1:6" x14ac:dyDescent="0.3">
      <c r="A355" s="1">
        <v>45736</v>
      </c>
      <c r="B355" t="s">
        <v>15</v>
      </c>
      <c r="C355">
        <v>25</v>
      </c>
      <c r="D355">
        <v>543000</v>
      </c>
      <c r="E355" t="str">
        <f t="shared" si="10"/>
        <v>2025-03</v>
      </c>
      <c r="F355" t="str">
        <f t="shared" si="11"/>
        <v>Thu</v>
      </c>
    </row>
    <row r="356" spans="1:6" x14ac:dyDescent="0.3">
      <c r="A356" s="1">
        <v>45737</v>
      </c>
      <c r="B356" t="s">
        <v>15</v>
      </c>
      <c r="C356">
        <v>28</v>
      </c>
      <c r="D356">
        <v>710000</v>
      </c>
      <c r="E356" t="str">
        <f t="shared" si="10"/>
        <v>2025-03</v>
      </c>
      <c r="F356" t="str">
        <f t="shared" si="11"/>
        <v>Fri</v>
      </c>
    </row>
    <row r="357" spans="1:6" x14ac:dyDescent="0.3">
      <c r="A357" s="1">
        <v>45738</v>
      </c>
      <c r="B357" t="s">
        <v>15</v>
      </c>
      <c r="C357">
        <v>47</v>
      </c>
      <c r="D357">
        <v>952000</v>
      </c>
      <c r="E357" t="str">
        <f t="shared" si="10"/>
        <v>2025-03</v>
      </c>
      <c r="F357" t="str">
        <f t="shared" si="11"/>
        <v>Sat</v>
      </c>
    </row>
    <row r="358" spans="1:6" x14ac:dyDescent="0.3">
      <c r="A358" s="1">
        <v>45739</v>
      </c>
      <c r="B358" t="s">
        <v>15</v>
      </c>
      <c r="C358">
        <v>49</v>
      </c>
      <c r="D358">
        <v>933000</v>
      </c>
      <c r="E358" t="str">
        <f t="shared" si="10"/>
        <v>2025-03</v>
      </c>
      <c r="F358" t="str">
        <f t="shared" si="11"/>
        <v>Sun</v>
      </c>
    </row>
    <row r="359" spans="1:6" x14ac:dyDescent="0.3">
      <c r="A359" s="1">
        <v>45740</v>
      </c>
      <c r="B359" t="s">
        <v>15</v>
      </c>
      <c r="C359">
        <v>27</v>
      </c>
      <c r="D359">
        <v>609000</v>
      </c>
      <c r="E359" t="str">
        <f t="shared" si="10"/>
        <v>2025-03</v>
      </c>
      <c r="F359" t="str">
        <f t="shared" si="11"/>
        <v>Mon</v>
      </c>
    </row>
    <row r="360" spans="1:6" x14ac:dyDescent="0.3">
      <c r="A360" s="1">
        <v>45741</v>
      </c>
      <c r="B360" t="s">
        <v>15</v>
      </c>
      <c r="C360">
        <v>32</v>
      </c>
      <c r="D360">
        <v>640000</v>
      </c>
      <c r="E360" t="str">
        <f t="shared" si="10"/>
        <v>2025-03</v>
      </c>
      <c r="F360" t="str">
        <f t="shared" si="11"/>
        <v>Tue</v>
      </c>
    </row>
    <row r="361" spans="1:6" x14ac:dyDescent="0.3">
      <c r="A361" s="1">
        <v>45742</v>
      </c>
      <c r="B361" t="s">
        <v>15</v>
      </c>
      <c r="C361">
        <v>26</v>
      </c>
      <c r="D361">
        <v>552000</v>
      </c>
      <c r="E361" t="str">
        <f t="shared" si="10"/>
        <v>2025-03</v>
      </c>
      <c r="F361" t="str">
        <f t="shared" si="11"/>
        <v>Wed</v>
      </c>
    </row>
    <row r="362" spans="1:6" x14ac:dyDescent="0.3">
      <c r="A362" s="1">
        <v>45743</v>
      </c>
      <c r="B362" t="s">
        <v>15</v>
      </c>
      <c r="C362">
        <v>29</v>
      </c>
      <c r="D362">
        <v>625000</v>
      </c>
      <c r="E362" t="str">
        <f t="shared" si="10"/>
        <v>2025-03</v>
      </c>
      <c r="F362" t="str">
        <f t="shared" si="11"/>
        <v>Thu</v>
      </c>
    </row>
    <row r="363" spans="1:6" x14ac:dyDescent="0.3">
      <c r="A363" s="1">
        <v>45744</v>
      </c>
      <c r="B363" t="s">
        <v>15</v>
      </c>
      <c r="C363">
        <v>25</v>
      </c>
      <c r="D363">
        <v>585000</v>
      </c>
      <c r="E363" t="str">
        <f t="shared" si="10"/>
        <v>2025-03</v>
      </c>
      <c r="F363" t="str">
        <f t="shared" si="11"/>
        <v>Fri</v>
      </c>
    </row>
    <row r="364" spans="1:6" x14ac:dyDescent="0.3">
      <c r="A364" s="1">
        <v>45745</v>
      </c>
      <c r="B364" t="s">
        <v>15</v>
      </c>
      <c r="C364">
        <v>44</v>
      </c>
      <c r="D364">
        <v>859000</v>
      </c>
      <c r="E364" t="str">
        <f t="shared" si="10"/>
        <v>2025-03</v>
      </c>
      <c r="F364" t="str">
        <f t="shared" si="11"/>
        <v>Sat</v>
      </c>
    </row>
    <row r="365" spans="1:6" x14ac:dyDescent="0.3">
      <c r="A365" s="1">
        <v>45746</v>
      </c>
      <c r="B365" t="s">
        <v>15</v>
      </c>
      <c r="C365">
        <v>39</v>
      </c>
      <c r="D365">
        <v>810000</v>
      </c>
      <c r="E365" t="str">
        <f t="shared" si="10"/>
        <v>2025-03</v>
      </c>
      <c r="F365" t="str">
        <f t="shared" si="11"/>
        <v>Sun</v>
      </c>
    </row>
    <row r="366" spans="1:6" x14ac:dyDescent="0.3">
      <c r="A366" s="1">
        <v>45747</v>
      </c>
      <c r="B366" t="s">
        <v>15</v>
      </c>
      <c r="C366">
        <v>40</v>
      </c>
      <c r="D366">
        <v>640000</v>
      </c>
      <c r="E366" t="str">
        <f t="shared" si="10"/>
        <v>2025-03</v>
      </c>
      <c r="F366" t="str">
        <f t="shared" si="11"/>
        <v>Mon</v>
      </c>
    </row>
    <row r="367" spans="1:6" x14ac:dyDescent="0.3">
      <c r="A367" s="1">
        <v>45748</v>
      </c>
      <c r="B367" t="s">
        <v>15</v>
      </c>
      <c r="C367">
        <v>36</v>
      </c>
      <c r="D367">
        <v>696000</v>
      </c>
      <c r="E367" t="str">
        <f t="shared" si="10"/>
        <v>2025-04</v>
      </c>
      <c r="F367" t="str">
        <f t="shared" si="11"/>
        <v>Tue</v>
      </c>
    </row>
    <row r="368" spans="1:6" x14ac:dyDescent="0.3">
      <c r="A368" s="1">
        <v>45749</v>
      </c>
      <c r="B368" t="s">
        <v>15</v>
      </c>
      <c r="C368">
        <v>23</v>
      </c>
      <c r="D368">
        <v>542000</v>
      </c>
      <c r="E368" t="str">
        <f t="shared" si="10"/>
        <v>2025-04</v>
      </c>
      <c r="F368" t="str">
        <f t="shared" si="11"/>
        <v>Wed</v>
      </c>
    </row>
    <row r="369" spans="1:6" x14ac:dyDescent="0.3">
      <c r="A369" s="1">
        <v>45750</v>
      </c>
      <c r="B369" t="s">
        <v>15</v>
      </c>
      <c r="C369">
        <v>35</v>
      </c>
      <c r="D369">
        <v>681000</v>
      </c>
      <c r="E369" t="str">
        <f t="shared" si="10"/>
        <v>2025-04</v>
      </c>
      <c r="F369" t="str">
        <f t="shared" si="11"/>
        <v>Thu</v>
      </c>
    </row>
    <row r="370" spans="1:6" x14ac:dyDescent="0.3">
      <c r="A370" s="1">
        <v>45751</v>
      </c>
      <c r="B370" t="s">
        <v>15</v>
      </c>
      <c r="C370">
        <v>25</v>
      </c>
      <c r="D370">
        <v>500000</v>
      </c>
      <c r="E370" t="str">
        <f t="shared" si="10"/>
        <v>2025-04</v>
      </c>
      <c r="F370" t="str">
        <f t="shared" si="11"/>
        <v>Fri</v>
      </c>
    </row>
    <row r="371" spans="1:6" x14ac:dyDescent="0.3">
      <c r="A371" s="1">
        <v>45752</v>
      </c>
      <c r="B371" t="s">
        <v>15</v>
      </c>
      <c r="C371">
        <v>36</v>
      </c>
      <c r="D371">
        <v>669000</v>
      </c>
      <c r="E371" t="str">
        <f t="shared" si="10"/>
        <v>2025-04</v>
      </c>
      <c r="F371" t="str">
        <f t="shared" si="11"/>
        <v>Sat</v>
      </c>
    </row>
    <row r="372" spans="1:6" x14ac:dyDescent="0.3">
      <c r="A372" s="1">
        <v>45753</v>
      </c>
      <c r="B372" t="s">
        <v>15</v>
      </c>
      <c r="C372">
        <v>38</v>
      </c>
      <c r="D372">
        <v>844000</v>
      </c>
      <c r="E372" t="str">
        <f t="shared" si="10"/>
        <v>2025-04</v>
      </c>
      <c r="F372" t="str">
        <f t="shared" si="11"/>
        <v>Sun</v>
      </c>
    </row>
    <row r="373" spans="1:6" x14ac:dyDescent="0.3">
      <c r="A373" s="1">
        <v>45754</v>
      </c>
      <c r="B373" t="s">
        <v>15</v>
      </c>
      <c r="C373">
        <v>29</v>
      </c>
      <c r="D373">
        <v>625000</v>
      </c>
      <c r="E373" t="str">
        <f t="shared" si="10"/>
        <v>2025-04</v>
      </c>
      <c r="F373" t="str">
        <f t="shared" si="11"/>
        <v>Mon</v>
      </c>
    </row>
    <row r="374" spans="1:6" x14ac:dyDescent="0.3">
      <c r="A374" s="1">
        <v>45755</v>
      </c>
      <c r="B374" t="s">
        <v>15</v>
      </c>
      <c r="C374">
        <v>35</v>
      </c>
      <c r="D374">
        <v>652000</v>
      </c>
      <c r="E374" t="str">
        <f t="shared" si="10"/>
        <v>2025-04</v>
      </c>
      <c r="F374" t="str">
        <f t="shared" si="11"/>
        <v>Tue</v>
      </c>
    </row>
    <row r="375" spans="1:6" x14ac:dyDescent="0.3">
      <c r="A375" s="1">
        <v>45756</v>
      </c>
      <c r="B375" t="s">
        <v>15</v>
      </c>
      <c r="C375">
        <v>23</v>
      </c>
      <c r="D375">
        <v>522000</v>
      </c>
      <c r="E375" t="str">
        <f t="shared" si="10"/>
        <v>2025-04</v>
      </c>
      <c r="F375" t="str">
        <f t="shared" si="11"/>
        <v>Wed</v>
      </c>
    </row>
    <row r="376" spans="1:6" x14ac:dyDescent="0.3">
      <c r="A376" s="1">
        <v>45757</v>
      </c>
      <c r="B376" t="s">
        <v>15</v>
      </c>
      <c r="C376">
        <v>29</v>
      </c>
      <c r="D376">
        <v>622000</v>
      </c>
      <c r="E376" t="str">
        <f t="shared" si="10"/>
        <v>2025-04</v>
      </c>
      <c r="F376" t="str">
        <f t="shared" si="11"/>
        <v>Thu</v>
      </c>
    </row>
    <row r="377" spans="1:6" x14ac:dyDescent="0.3">
      <c r="A377" s="1">
        <v>45758</v>
      </c>
      <c r="B377" t="s">
        <v>15</v>
      </c>
      <c r="C377">
        <v>28</v>
      </c>
      <c r="D377">
        <v>633000</v>
      </c>
      <c r="E377" t="str">
        <f t="shared" si="10"/>
        <v>2025-04</v>
      </c>
      <c r="F377" t="str">
        <f t="shared" si="11"/>
        <v>Fri</v>
      </c>
    </row>
    <row r="378" spans="1:6" x14ac:dyDescent="0.3">
      <c r="A378" s="1">
        <v>45759</v>
      </c>
      <c r="B378" t="s">
        <v>15</v>
      </c>
      <c r="C378">
        <v>49</v>
      </c>
      <c r="D378">
        <v>964000</v>
      </c>
      <c r="E378" t="str">
        <f t="shared" si="10"/>
        <v>2025-04</v>
      </c>
      <c r="F378" t="str">
        <f t="shared" si="11"/>
        <v>Sat</v>
      </c>
    </row>
    <row r="379" spans="1:6" x14ac:dyDescent="0.3">
      <c r="A379" s="1">
        <v>45760</v>
      </c>
      <c r="B379" t="s">
        <v>15</v>
      </c>
      <c r="C379">
        <v>35</v>
      </c>
      <c r="D379">
        <v>848000</v>
      </c>
      <c r="E379" t="str">
        <f t="shared" si="10"/>
        <v>2025-04</v>
      </c>
      <c r="F379" t="str">
        <f t="shared" si="11"/>
        <v>Sun</v>
      </c>
    </row>
    <row r="380" spans="1:6" x14ac:dyDescent="0.3">
      <c r="A380" s="1">
        <v>45761</v>
      </c>
      <c r="B380" t="s">
        <v>15</v>
      </c>
      <c r="C380">
        <v>30</v>
      </c>
      <c r="D380">
        <v>659000</v>
      </c>
      <c r="E380" t="str">
        <f t="shared" si="10"/>
        <v>2025-04</v>
      </c>
      <c r="F380" t="str">
        <f t="shared" si="11"/>
        <v>Mon</v>
      </c>
    </row>
    <row r="381" spans="1:6" x14ac:dyDescent="0.3">
      <c r="A381" s="1">
        <v>45762</v>
      </c>
      <c r="B381" t="s">
        <v>15</v>
      </c>
      <c r="C381">
        <v>27</v>
      </c>
      <c r="D381">
        <v>565000</v>
      </c>
      <c r="E381" t="str">
        <f t="shared" si="10"/>
        <v>2025-04</v>
      </c>
      <c r="F381" t="str">
        <f t="shared" si="11"/>
        <v>Tue</v>
      </c>
    </row>
    <row r="382" spans="1:6" x14ac:dyDescent="0.3">
      <c r="A382" s="1">
        <v>45763</v>
      </c>
      <c r="B382" t="s">
        <v>15</v>
      </c>
      <c r="C382">
        <v>31</v>
      </c>
      <c r="D382">
        <v>615000</v>
      </c>
      <c r="E382" t="str">
        <f t="shared" si="10"/>
        <v>2025-04</v>
      </c>
      <c r="F382" t="str">
        <f t="shared" si="11"/>
        <v>Wed</v>
      </c>
    </row>
    <row r="383" spans="1:6" x14ac:dyDescent="0.3">
      <c r="A383" s="1">
        <v>45764</v>
      </c>
      <c r="B383" t="s">
        <v>15</v>
      </c>
      <c r="C383">
        <v>29</v>
      </c>
      <c r="D383">
        <v>599000</v>
      </c>
      <c r="E383" t="str">
        <f t="shared" si="10"/>
        <v>2025-04</v>
      </c>
      <c r="F383" t="str">
        <f t="shared" si="11"/>
        <v>Thu</v>
      </c>
    </row>
    <row r="384" spans="1:6" x14ac:dyDescent="0.3">
      <c r="A384" s="1">
        <v>45765</v>
      </c>
      <c r="B384" t="s">
        <v>15</v>
      </c>
      <c r="C384">
        <v>30</v>
      </c>
      <c r="D384">
        <v>671000</v>
      </c>
      <c r="E384" t="str">
        <f t="shared" si="10"/>
        <v>2025-04</v>
      </c>
      <c r="F384" t="str">
        <f t="shared" si="11"/>
        <v>Fri</v>
      </c>
    </row>
    <row r="385" spans="1:6" x14ac:dyDescent="0.3">
      <c r="A385" s="1">
        <v>45766</v>
      </c>
      <c r="B385" t="s">
        <v>15</v>
      </c>
      <c r="C385">
        <v>38</v>
      </c>
      <c r="D385">
        <v>774000</v>
      </c>
      <c r="E385" t="str">
        <f t="shared" si="10"/>
        <v>2025-04</v>
      </c>
      <c r="F385" t="str">
        <f t="shared" si="11"/>
        <v>Sat</v>
      </c>
    </row>
    <row r="386" spans="1:6" x14ac:dyDescent="0.3">
      <c r="A386" s="1">
        <v>45767</v>
      </c>
      <c r="B386" t="s">
        <v>15</v>
      </c>
      <c r="C386">
        <v>34</v>
      </c>
      <c r="D386">
        <v>787000</v>
      </c>
      <c r="E386" t="str">
        <f t="shared" ref="E386:E449" si="12">TEXT(A386,"yyyy-mm")</f>
        <v>2025-04</v>
      </c>
      <c r="F386" t="str">
        <f t="shared" ref="F386:F449" si="13">TEXT(A386,"ddd")</f>
        <v>Sun</v>
      </c>
    </row>
    <row r="387" spans="1:6" x14ac:dyDescent="0.3">
      <c r="A387" s="1">
        <v>45768</v>
      </c>
      <c r="B387" t="s">
        <v>15</v>
      </c>
      <c r="C387">
        <v>30</v>
      </c>
      <c r="D387">
        <v>664000</v>
      </c>
      <c r="E387" t="str">
        <f t="shared" si="12"/>
        <v>2025-04</v>
      </c>
      <c r="F387" t="str">
        <f t="shared" si="13"/>
        <v>Mon</v>
      </c>
    </row>
    <row r="388" spans="1:6" x14ac:dyDescent="0.3">
      <c r="A388" s="1">
        <v>45769</v>
      </c>
      <c r="B388" t="s">
        <v>15</v>
      </c>
      <c r="C388">
        <v>31</v>
      </c>
      <c r="D388">
        <v>741000</v>
      </c>
      <c r="E388" t="str">
        <f t="shared" si="12"/>
        <v>2025-04</v>
      </c>
      <c r="F388" t="str">
        <f t="shared" si="13"/>
        <v>Tue</v>
      </c>
    </row>
    <row r="389" spans="1:6" x14ac:dyDescent="0.3">
      <c r="A389" s="1">
        <v>45770</v>
      </c>
      <c r="B389" t="s">
        <v>15</v>
      </c>
      <c r="C389">
        <v>29</v>
      </c>
      <c r="D389">
        <v>653000</v>
      </c>
      <c r="E389" t="str">
        <f t="shared" si="12"/>
        <v>2025-04</v>
      </c>
      <c r="F389" t="str">
        <f t="shared" si="13"/>
        <v>Wed</v>
      </c>
    </row>
    <row r="390" spans="1:6" x14ac:dyDescent="0.3">
      <c r="A390" s="1">
        <v>45771</v>
      </c>
      <c r="B390" t="s">
        <v>15</v>
      </c>
      <c r="C390">
        <v>31</v>
      </c>
      <c r="D390">
        <v>648000</v>
      </c>
      <c r="E390" t="str">
        <f t="shared" si="12"/>
        <v>2025-04</v>
      </c>
      <c r="F390" t="str">
        <f t="shared" si="13"/>
        <v>Thu</v>
      </c>
    </row>
    <row r="391" spans="1:6" x14ac:dyDescent="0.3">
      <c r="A391" s="1">
        <v>45772</v>
      </c>
      <c r="B391" t="s">
        <v>15</v>
      </c>
      <c r="C391">
        <v>35</v>
      </c>
      <c r="D391">
        <v>607000</v>
      </c>
      <c r="E391" t="str">
        <f t="shared" si="12"/>
        <v>2025-04</v>
      </c>
      <c r="F391" t="str">
        <f t="shared" si="13"/>
        <v>Fri</v>
      </c>
    </row>
    <row r="392" spans="1:6" x14ac:dyDescent="0.3">
      <c r="A392" s="1">
        <v>45773</v>
      </c>
      <c r="B392" t="s">
        <v>15</v>
      </c>
      <c r="C392">
        <v>44</v>
      </c>
      <c r="D392">
        <v>955000</v>
      </c>
      <c r="E392" t="str">
        <f t="shared" si="12"/>
        <v>2025-04</v>
      </c>
      <c r="F392" t="str">
        <f t="shared" si="13"/>
        <v>Sat</v>
      </c>
    </row>
    <row r="393" spans="1:6" x14ac:dyDescent="0.3">
      <c r="A393" s="1">
        <v>45774</v>
      </c>
      <c r="B393" t="s">
        <v>15</v>
      </c>
      <c r="C393">
        <v>40</v>
      </c>
      <c r="D393">
        <v>908000</v>
      </c>
      <c r="E393" t="str">
        <f t="shared" si="12"/>
        <v>2025-04</v>
      </c>
      <c r="F393" t="str">
        <f t="shared" si="13"/>
        <v>Sun</v>
      </c>
    </row>
    <row r="394" spans="1:6" x14ac:dyDescent="0.3">
      <c r="A394" s="1">
        <v>45775</v>
      </c>
      <c r="B394" t="s">
        <v>15</v>
      </c>
      <c r="C394">
        <v>35</v>
      </c>
      <c r="D394">
        <v>739000</v>
      </c>
      <c r="E394" t="str">
        <f t="shared" si="12"/>
        <v>2025-04</v>
      </c>
      <c r="F394" t="str">
        <f t="shared" si="13"/>
        <v>Mon</v>
      </c>
    </row>
    <row r="395" spans="1:6" x14ac:dyDescent="0.3">
      <c r="A395" s="1">
        <v>45776</v>
      </c>
      <c r="B395" t="s">
        <v>15</v>
      </c>
      <c r="C395">
        <v>29</v>
      </c>
      <c r="D395">
        <v>651000</v>
      </c>
      <c r="E395" t="str">
        <f t="shared" si="12"/>
        <v>2025-04</v>
      </c>
      <c r="F395" t="str">
        <f t="shared" si="13"/>
        <v>Tue</v>
      </c>
    </row>
    <row r="396" spans="1:6" x14ac:dyDescent="0.3">
      <c r="A396" s="1">
        <v>45777</v>
      </c>
      <c r="B396" t="s">
        <v>15</v>
      </c>
      <c r="C396">
        <v>28</v>
      </c>
      <c r="D396">
        <v>570000</v>
      </c>
      <c r="E396" t="str">
        <f t="shared" si="12"/>
        <v>2025-04</v>
      </c>
      <c r="F396" t="str">
        <f t="shared" si="13"/>
        <v>Wed</v>
      </c>
    </row>
    <row r="397" spans="1:6" x14ac:dyDescent="0.3">
      <c r="A397" s="1">
        <v>45778</v>
      </c>
      <c r="B397" t="s">
        <v>15</v>
      </c>
      <c r="C397">
        <v>29</v>
      </c>
      <c r="D397">
        <v>595000</v>
      </c>
      <c r="E397" t="str">
        <f t="shared" si="12"/>
        <v>2025-05</v>
      </c>
      <c r="F397" t="str">
        <f t="shared" si="13"/>
        <v>Thu</v>
      </c>
    </row>
    <row r="398" spans="1:6" x14ac:dyDescent="0.3">
      <c r="A398" s="1">
        <v>45779</v>
      </c>
      <c r="B398" t="s">
        <v>15</v>
      </c>
      <c r="C398">
        <v>30</v>
      </c>
      <c r="D398">
        <v>568000</v>
      </c>
      <c r="E398" t="str">
        <f t="shared" si="12"/>
        <v>2025-05</v>
      </c>
      <c r="F398" t="str">
        <f t="shared" si="13"/>
        <v>Fri</v>
      </c>
    </row>
    <row r="399" spans="1:6" x14ac:dyDescent="0.3">
      <c r="A399" s="1">
        <v>45780</v>
      </c>
      <c r="B399" t="s">
        <v>15</v>
      </c>
      <c r="C399">
        <v>32</v>
      </c>
      <c r="D399">
        <v>755000</v>
      </c>
      <c r="E399" t="str">
        <f t="shared" si="12"/>
        <v>2025-05</v>
      </c>
      <c r="F399" t="str">
        <f t="shared" si="13"/>
        <v>Sat</v>
      </c>
    </row>
    <row r="400" spans="1:6" x14ac:dyDescent="0.3">
      <c r="A400" s="1">
        <v>45781</v>
      </c>
      <c r="B400" t="s">
        <v>15</v>
      </c>
      <c r="C400">
        <v>46</v>
      </c>
      <c r="D400">
        <v>973000</v>
      </c>
      <c r="E400" t="str">
        <f t="shared" si="12"/>
        <v>2025-05</v>
      </c>
      <c r="F400" t="str">
        <f t="shared" si="13"/>
        <v>Sun</v>
      </c>
    </row>
    <row r="401" spans="1:6" x14ac:dyDescent="0.3">
      <c r="A401" s="1">
        <v>45782</v>
      </c>
      <c r="B401" t="s">
        <v>15</v>
      </c>
      <c r="C401">
        <v>34</v>
      </c>
      <c r="D401">
        <v>682000</v>
      </c>
      <c r="E401" t="str">
        <f t="shared" si="12"/>
        <v>2025-05</v>
      </c>
      <c r="F401" t="str">
        <f t="shared" si="13"/>
        <v>Mon</v>
      </c>
    </row>
    <row r="402" spans="1:6" x14ac:dyDescent="0.3">
      <c r="A402" s="1">
        <v>45783</v>
      </c>
      <c r="B402" t="s">
        <v>15</v>
      </c>
      <c r="C402">
        <v>30</v>
      </c>
      <c r="D402">
        <v>553000</v>
      </c>
      <c r="E402" t="str">
        <f t="shared" si="12"/>
        <v>2025-05</v>
      </c>
      <c r="F402" t="str">
        <f t="shared" si="13"/>
        <v>Tue</v>
      </c>
    </row>
    <row r="403" spans="1:6" x14ac:dyDescent="0.3">
      <c r="A403" s="1">
        <v>45784</v>
      </c>
      <c r="B403" t="s">
        <v>15</v>
      </c>
      <c r="C403">
        <v>36</v>
      </c>
      <c r="D403">
        <v>745000</v>
      </c>
      <c r="E403" t="str">
        <f t="shared" si="12"/>
        <v>2025-05</v>
      </c>
      <c r="F403" t="str">
        <f t="shared" si="13"/>
        <v>Wed</v>
      </c>
    </row>
    <row r="404" spans="1:6" x14ac:dyDescent="0.3">
      <c r="A404" s="1">
        <v>45785</v>
      </c>
      <c r="B404" t="s">
        <v>15</v>
      </c>
      <c r="C404">
        <v>27</v>
      </c>
      <c r="D404">
        <v>648000</v>
      </c>
      <c r="E404" t="str">
        <f t="shared" si="12"/>
        <v>2025-05</v>
      </c>
      <c r="F404" t="str">
        <f t="shared" si="13"/>
        <v>Thu</v>
      </c>
    </row>
    <row r="405" spans="1:6" x14ac:dyDescent="0.3">
      <c r="A405" s="1">
        <v>45786</v>
      </c>
      <c r="B405" t="s">
        <v>15</v>
      </c>
      <c r="C405">
        <v>26</v>
      </c>
      <c r="D405">
        <v>572000</v>
      </c>
      <c r="E405" t="str">
        <f t="shared" si="12"/>
        <v>2025-05</v>
      </c>
      <c r="F405" t="str">
        <f t="shared" si="13"/>
        <v>Fri</v>
      </c>
    </row>
    <row r="406" spans="1:6" x14ac:dyDescent="0.3">
      <c r="A406" s="1">
        <v>45787</v>
      </c>
      <c r="B406" t="s">
        <v>15</v>
      </c>
      <c r="C406">
        <v>46</v>
      </c>
      <c r="D406">
        <v>899000</v>
      </c>
      <c r="E406" t="str">
        <f t="shared" si="12"/>
        <v>2025-05</v>
      </c>
      <c r="F406" t="str">
        <f t="shared" si="13"/>
        <v>Sat</v>
      </c>
    </row>
    <row r="407" spans="1:6" x14ac:dyDescent="0.3">
      <c r="A407" s="1">
        <v>45788</v>
      </c>
      <c r="B407" t="s">
        <v>15</v>
      </c>
      <c r="C407">
        <v>36</v>
      </c>
      <c r="D407">
        <v>860000</v>
      </c>
      <c r="E407" t="str">
        <f t="shared" si="12"/>
        <v>2025-05</v>
      </c>
      <c r="F407" t="str">
        <f t="shared" si="13"/>
        <v>Sun</v>
      </c>
    </row>
    <row r="408" spans="1:6" x14ac:dyDescent="0.3">
      <c r="A408" s="1">
        <v>45789</v>
      </c>
      <c r="B408" t="s">
        <v>15</v>
      </c>
      <c r="C408">
        <v>24</v>
      </c>
      <c r="D408">
        <v>584000</v>
      </c>
      <c r="E408" t="str">
        <f t="shared" si="12"/>
        <v>2025-05</v>
      </c>
      <c r="F408" t="str">
        <f t="shared" si="13"/>
        <v>Mon</v>
      </c>
    </row>
    <row r="409" spans="1:6" x14ac:dyDescent="0.3">
      <c r="A409" s="1">
        <v>45790</v>
      </c>
      <c r="B409" t="s">
        <v>15</v>
      </c>
      <c r="C409">
        <v>22</v>
      </c>
      <c r="D409">
        <v>510000</v>
      </c>
      <c r="E409" t="str">
        <f t="shared" si="12"/>
        <v>2025-05</v>
      </c>
      <c r="F409" t="str">
        <f t="shared" si="13"/>
        <v>Tue</v>
      </c>
    </row>
    <row r="410" spans="1:6" x14ac:dyDescent="0.3">
      <c r="A410" s="1">
        <v>45791</v>
      </c>
      <c r="B410" t="s">
        <v>15</v>
      </c>
      <c r="C410">
        <v>28</v>
      </c>
      <c r="D410">
        <v>636000</v>
      </c>
      <c r="E410" t="str">
        <f t="shared" si="12"/>
        <v>2025-05</v>
      </c>
      <c r="F410" t="str">
        <f t="shared" si="13"/>
        <v>Wed</v>
      </c>
    </row>
    <row r="411" spans="1:6" x14ac:dyDescent="0.3">
      <c r="A411" s="1">
        <v>45792</v>
      </c>
      <c r="B411" t="s">
        <v>15</v>
      </c>
      <c r="C411">
        <v>28</v>
      </c>
      <c r="D411">
        <v>653000</v>
      </c>
      <c r="E411" t="str">
        <f t="shared" si="12"/>
        <v>2025-05</v>
      </c>
      <c r="F411" t="str">
        <f t="shared" si="13"/>
        <v>Thu</v>
      </c>
    </row>
    <row r="412" spans="1:6" x14ac:dyDescent="0.3">
      <c r="A412" s="1">
        <v>45793</v>
      </c>
      <c r="B412" t="s">
        <v>15</v>
      </c>
      <c r="C412">
        <v>21</v>
      </c>
      <c r="D412">
        <v>471000</v>
      </c>
      <c r="E412" t="str">
        <f t="shared" si="12"/>
        <v>2025-05</v>
      </c>
      <c r="F412" t="str">
        <f t="shared" si="13"/>
        <v>Fri</v>
      </c>
    </row>
    <row r="413" spans="1:6" x14ac:dyDescent="0.3">
      <c r="A413" s="1">
        <v>45794</v>
      </c>
      <c r="B413" t="s">
        <v>15</v>
      </c>
      <c r="C413">
        <v>41</v>
      </c>
      <c r="D413">
        <v>916000</v>
      </c>
      <c r="E413" t="str">
        <f t="shared" si="12"/>
        <v>2025-05</v>
      </c>
      <c r="F413" t="str">
        <f t="shared" si="13"/>
        <v>Sat</v>
      </c>
    </row>
    <row r="414" spans="1:6" x14ac:dyDescent="0.3">
      <c r="A414" s="1">
        <v>45795</v>
      </c>
      <c r="B414" t="s">
        <v>15</v>
      </c>
      <c r="C414">
        <v>47</v>
      </c>
      <c r="D414">
        <v>922000</v>
      </c>
      <c r="E414" t="str">
        <f t="shared" si="12"/>
        <v>2025-05</v>
      </c>
      <c r="F414" t="str">
        <f t="shared" si="13"/>
        <v>Sun</v>
      </c>
    </row>
    <row r="415" spans="1:6" x14ac:dyDescent="0.3">
      <c r="A415" s="1">
        <v>45796</v>
      </c>
      <c r="B415" t="s">
        <v>15</v>
      </c>
      <c r="C415">
        <v>25</v>
      </c>
      <c r="D415">
        <v>605000</v>
      </c>
      <c r="E415" t="str">
        <f t="shared" si="12"/>
        <v>2025-05</v>
      </c>
      <c r="F415" t="str">
        <f t="shared" si="13"/>
        <v>Mon</v>
      </c>
    </row>
    <row r="416" spans="1:6" x14ac:dyDescent="0.3">
      <c r="A416" s="1">
        <v>45797</v>
      </c>
      <c r="B416" t="s">
        <v>15</v>
      </c>
      <c r="C416">
        <v>30</v>
      </c>
      <c r="D416">
        <v>642000</v>
      </c>
      <c r="E416" t="str">
        <f t="shared" si="12"/>
        <v>2025-05</v>
      </c>
      <c r="F416" t="str">
        <f t="shared" si="13"/>
        <v>Tue</v>
      </c>
    </row>
    <row r="417" spans="1:6" x14ac:dyDescent="0.3">
      <c r="A417" s="1">
        <v>45798</v>
      </c>
      <c r="B417" t="s">
        <v>15</v>
      </c>
      <c r="C417">
        <v>25</v>
      </c>
      <c r="D417">
        <v>618000</v>
      </c>
      <c r="E417" t="str">
        <f t="shared" si="12"/>
        <v>2025-05</v>
      </c>
      <c r="F417" t="str">
        <f t="shared" si="13"/>
        <v>Wed</v>
      </c>
    </row>
    <row r="418" spans="1:6" x14ac:dyDescent="0.3">
      <c r="A418" s="1">
        <v>45799</v>
      </c>
      <c r="B418" t="s">
        <v>15</v>
      </c>
      <c r="C418">
        <v>34</v>
      </c>
      <c r="D418">
        <v>583000</v>
      </c>
      <c r="E418" t="str">
        <f t="shared" si="12"/>
        <v>2025-05</v>
      </c>
      <c r="F418" t="str">
        <f t="shared" si="13"/>
        <v>Thu</v>
      </c>
    </row>
    <row r="419" spans="1:6" x14ac:dyDescent="0.3">
      <c r="A419" s="1">
        <v>45800</v>
      </c>
      <c r="B419" t="s">
        <v>15</v>
      </c>
      <c r="C419">
        <v>27</v>
      </c>
      <c r="D419">
        <v>613000</v>
      </c>
      <c r="E419" t="str">
        <f t="shared" si="12"/>
        <v>2025-05</v>
      </c>
      <c r="F419" t="str">
        <f t="shared" si="13"/>
        <v>Fri</v>
      </c>
    </row>
    <row r="420" spans="1:6" x14ac:dyDescent="0.3">
      <c r="A420" s="1">
        <v>45801</v>
      </c>
      <c r="B420" t="s">
        <v>15</v>
      </c>
      <c r="C420">
        <v>43</v>
      </c>
      <c r="D420">
        <v>988000</v>
      </c>
      <c r="E420" t="str">
        <f t="shared" si="12"/>
        <v>2025-05</v>
      </c>
      <c r="F420" t="str">
        <f t="shared" si="13"/>
        <v>Sat</v>
      </c>
    </row>
    <row r="421" spans="1:6" x14ac:dyDescent="0.3">
      <c r="A421" s="1">
        <v>45802</v>
      </c>
      <c r="B421" t="s">
        <v>15</v>
      </c>
      <c r="C421">
        <v>37</v>
      </c>
      <c r="D421">
        <v>745000</v>
      </c>
      <c r="E421" t="str">
        <f t="shared" si="12"/>
        <v>2025-05</v>
      </c>
      <c r="F421" t="str">
        <f t="shared" si="13"/>
        <v>Sun</v>
      </c>
    </row>
    <row r="422" spans="1:6" x14ac:dyDescent="0.3">
      <c r="A422" s="1">
        <v>45803</v>
      </c>
      <c r="B422" t="s">
        <v>15</v>
      </c>
      <c r="C422">
        <v>30</v>
      </c>
      <c r="D422">
        <v>652000</v>
      </c>
      <c r="E422" t="str">
        <f t="shared" si="12"/>
        <v>2025-05</v>
      </c>
      <c r="F422" t="str">
        <f t="shared" si="13"/>
        <v>Mon</v>
      </c>
    </row>
    <row r="423" spans="1:6" x14ac:dyDescent="0.3">
      <c r="A423" s="1">
        <v>45804</v>
      </c>
      <c r="B423" t="s">
        <v>15</v>
      </c>
      <c r="C423">
        <v>29</v>
      </c>
      <c r="D423">
        <v>649000</v>
      </c>
      <c r="E423" t="str">
        <f t="shared" si="12"/>
        <v>2025-05</v>
      </c>
      <c r="F423" t="str">
        <f t="shared" si="13"/>
        <v>Tue</v>
      </c>
    </row>
    <row r="424" spans="1:6" x14ac:dyDescent="0.3">
      <c r="A424" s="1">
        <v>45805</v>
      </c>
      <c r="B424" t="s">
        <v>15</v>
      </c>
      <c r="C424">
        <v>27</v>
      </c>
      <c r="D424">
        <v>592000</v>
      </c>
      <c r="E424" t="str">
        <f t="shared" si="12"/>
        <v>2025-05</v>
      </c>
      <c r="F424" t="str">
        <f t="shared" si="13"/>
        <v>Wed</v>
      </c>
    </row>
    <row r="425" spans="1:6" x14ac:dyDescent="0.3">
      <c r="A425" s="1">
        <v>45806</v>
      </c>
      <c r="B425" t="s">
        <v>15</v>
      </c>
      <c r="C425">
        <v>31</v>
      </c>
      <c r="D425">
        <v>609000</v>
      </c>
      <c r="E425" t="str">
        <f t="shared" si="12"/>
        <v>2025-05</v>
      </c>
      <c r="F425" t="str">
        <f t="shared" si="13"/>
        <v>Thu</v>
      </c>
    </row>
    <row r="426" spans="1:6" x14ac:dyDescent="0.3">
      <c r="A426" s="1">
        <v>45807</v>
      </c>
      <c r="B426" t="s">
        <v>15</v>
      </c>
      <c r="C426">
        <v>26</v>
      </c>
      <c r="D426">
        <v>548000</v>
      </c>
      <c r="E426" t="str">
        <f t="shared" si="12"/>
        <v>2025-05</v>
      </c>
      <c r="F426" t="str">
        <f t="shared" si="13"/>
        <v>Fri</v>
      </c>
    </row>
    <row r="427" spans="1:6" x14ac:dyDescent="0.3">
      <c r="A427" s="1">
        <v>45808</v>
      </c>
      <c r="B427" t="s">
        <v>15</v>
      </c>
      <c r="C427">
        <v>35</v>
      </c>
      <c r="D427">
        <v>799000</v>
      </c>
      <c r="E427" t="str">
        <f t="shared" si="12"/>
        <v>2025-05</v>
      </c>
      <c r="F427" t="str">
        <f t="shared" si="13"/>
        <v>Sat</v>
      </c>
    </row>
    <row r="428" spans="1:6" x14ac:dyDescent="0.3">
      <c r="A428" s="1">
        <v>45809</v>
      </c>
      <c r="B428" t="s">
        <v>15</v>
      </c>
      <c r="C428">
        <v>37</v>
      </c>
      <c r="D428">
        <v>875000</v>
      </c>
      <c r="E428" t="str">
        <f t="shared" si="12"/>
        <v>2025-06</v>
      </c>
      <c r="F428" t="str">
        <f t="shared" si="13"/>
        <v>Sun</v>
      </c>
    </row>
    <row r="429" spans="1:6" x14ac:dyDescent="0.3">
      <c r="A429" s="1">
        <v>45810</v>
      </c>
      <c r="B429" t="s">
        <v>15</v>
      </c>
      <c r="C429">
        <v>31</v>
      </c>
      <c r="D429">
        <v>659000</v>
      </c>
      <c r="E429" t="str">
        <f t="shared" si="12"/>
        <v>2025-06</v>
      </c>
      <c r="F429" t="str">
        <f t="shared" si="13"/>
        <v>Mon</v>
      </c>
    </row>
    <row r="430" spans="1:6" x14ac:dyDescent="0.3">
      <c r="A430" s="1">
        <v>45811</v>
      </c>
      <c r="B430" t="s">
        <v>15</v>
      </c>
      <c r="C430">
        <v>27</v>
      </c>
      <c r="D430">
        <v>581000</v>
      </c>
      <c r="E430" t="str">
        <f t="shared" si="12"/>
        <v>2025-06</v>
      </c>
      <c r="F430" t="str">
        <f t="shared" si="13"/>
        <v>Tue</v>
      </c>
    </row>
    <row r="431" spans="1:6" x14ac:dyDescent="0.3">
      <c r="A431" s="1">
        <v>45812</v>
      </c>
      <c r="B431" t="s">
        <v>15</v>
      </c>
      <c r="C431">
        <v>39</v>
      </c>
      <c r="D431">
        <v>834000</v>
      </c>
      <c r="E431" t="str">
        <f t="shared" si="12"/>
        <v>2025-06</v>
      </c>
      <c r="F431" t="str">
        <f t="shared" si="13"/>
        <v>Wed</v>
      </c>
    </row>
    <row r="432" spans="1:6" x14ac:dyDescent="0.3">
      <c r="A432" s="1">
        <v>45813</v>
      </c>
      <c r="B432" t="s">
        <v>15</v>
      </c>
      <c r="C432">
        <v>26</v>
      </c>
      <c r="D432">
        <v>603000</v>
      </c>
      <c r="E432" t="str">
        <f t="shared" si="12"/>
        <v>2025-06</v>
      </c>
      <c r="F432" t="str">
        <f t="shared" si="13"/>
        <v>Thu</v>
      </c>
    </row>
    <row r="433" spans="1:6" x14ac:dyDescent="0.3">
      <c r="A433" s="1">
        <v>45814</v>
      </c>
      <c r="B433" t="s">
        <v>15</v>
      </c>
      <c r="C433">
        <v>34</v>
      </c>
      <c r="D433">
        <v>648000</v>
      </c>
      <c r="E433" t="str">
        <f t="shared" si="12"/>
        <v>2025-06</v>
      </c>
      <c r="F433" t="str">
        <f t="shared" si="13"/>
        <v>Fri</v>
      </c>
    </row>
    <row r="434" spans="1:6" x14ac:dyDescent="0.3">
      <c r="A434" s="1">
        <v>45815</v>
      </c>
      <c r="B434" t="s">
        <v>15</v>
      </c>
      <c r="C434">
        <v>47</v>
      </c>
      <c r="D434">
        <v>855000</v>
      </c>
      <c r="E434" t="str">
        <f t="shared" si="12"/>
        <v>2025-06</v>
      </c>
      <c r="F434" t="str">
        <f t="shared" si="13"/>
        <v>Sat</v>
      </c>
    </row>
    <row r="435" spans="1:6" x14ac:dyDescent="0.3">
      <c r="A435" s="1">
        <v>45816</v>
      </c>
      <c r="B435" t="s">
        <v>15</v>
      </c>
      <c r="C435">
        <v>40</v>
      </c>
      <c r="D435">
        <v>841000</v>
      </c>
      <c r="E435" t="str">
        <f t="shared" si="12"/>
        <v>2025-06</v>
      </c>
      <c r="F435" t="str">
        <f t="shared" si="13"/>
        <v>Sun</v>
      </c>
    </row>
    <row r="436" spans="1:6" x14ac:dyDescent="0.3">
      <c r="A436" s="1">
        <v>45817</v>
      </c>
      <c r="B436" t="s">
        <v>15</v>
      </c>
      <c r="C436">
        <v>39</v>
      </c>
      <c r="D436">
        <v>724000</v>
      </c>
      <c r="E436" t="str">
        <f t="shared" si="12"/>
        <v>2025-06</v>
      </c>
      <c r="F436" t="str">
        <f t="shared" si="13"/>
        <v>Mon</v>
      </c>
    </row>
    <row r="437" spans="1:6" x14ac:dyDescent="0.3">
      <c r="A437" s="1">
        <v>45818</v>
      </c>
      <c r="B437" t="s">
        <v>15</v>
      </c>
      <c r="C437">
        <v>31</v>
      </c>
      <c r="D437">
        <v>610000</v>
      </c>
      <c r="E437" t="str">
        <f t="shared" si="12"/>
        <v>2025-06</v>
      </c>
      <c r="F437" t="str">
        <f t="shared" si="13"/>
        <v>Tue</v>
      </c>
    </row>
    <row r="438" spans="1:6" x14ac:dyDescent="0.3">
      <c r="A438" s="1">
        <v>45819</v>
      </c>
      <c r="B438" t="s">
        <v>15</v>
      </c>
      <c r="C438">
        <v>34</v>
      </c>
      <c r="D438">
        <v>726000</v>
      </c>
      <c r="E438" t="str">
        <f t="shared" si="12"/>
        <v>2025-06</v>
      </c>
      <c r="F438" t="str">
        <f t="shared" si="13"/>
        <v>Wed</v>
      </c>
    </row>
    <row r="439" spans="1:6" x14ac:dyDescent="0.3">
      <c r="A439" s="1">
        <v>45820</v>
      </c>
      <c r="B439" t="s">
        <v>15</v>
      </c>
      <c r="C439">
        <v>33</v>
      </c>
      <c r="D439">
        <v>714000</v>
      </c>
      <c r="E439" t="str">
        <f t="shared" si="12"/>
        <v>2025-06</v>
      </c>
      <c r="F439" t="str">
        <f t="shared" si="13"/>
        <v>Thu</v>
      </c>
    </row>
    <row r="440" spans="1:6" x14ac:dyDescent="0.3">
      <c r="A440" s="1">
        <v>45821</v>
      </c>
      <c r="B440" t="s">
        <v>15</v>
      </c>
      <c r="C440">
        <v>30</v>
      </c>
      <c r="D440">
        <v>574000</v>
      </c>
      <c r="E440" t="str">
        <f t="shared" si="12"/>
        <v>2025-06</v>
      </c>
      <c r="F440" t="str">
        <f t="shared" si="13"/>
        <v>Fri</v>
      </c>
    </row>
    <row r="441" spans="1:6" x14ac:dyDescent="0.3">
      <c r="A441" s="1">
        <v>45822</v>
      </c>
      <c r="B441" t="s">
        <v>15</v>
      </c>
      <c r="C441">
        <v>43</v>
      </c>
      <c r="D441">
        <v>969000</v>
      </c>
      <c r="E441" t="str">
        <f t="shared" si="12"/>
        <v>2025-06</v>
      </c>
      <c r="F441" t="str">
        <f t="shared" si="13"/>
        <v>Sat</v>
      </c>
    </row>
    <row r="442" spans="1:6" x14ac:dyDescent="0.3">
      <c r="A442" s="1">
        <v>45823</v>
      </c>
      <c r="B442" t="s">
        <v>15</v>
      </c>
      <c r="C442">
        <v>47</v>
      </c>
      <c r="D442">
        <v>821000</v>
      </c>
      <c r="E442" t="str">
        <f t="shared" si="12"/>
        <v>2025-06</v>
      </c>
      <c r="F442" t="str">
        <f t="shared" si="13"/>
        <v>Sun</v>
      </c>
    </row>
    <row r="443" spans="1:6" x14ac:dyDescent="0.3">
      <c r="A443" s="1">
        <v>45824</v>
      </c>
      <c r="B443" t="s">
        <v>15</v>
      </c>
      <c r="C443">
        <v>37</v>
      </c>
      <c r="D443">
        <v>818000</v>
      </c>
      <c r="E443" t="str">
        <f t="shared" si="12"/>
        <v>2025-06</v>
      </c>
      <c r="F443" t="str">
        <f t="shared" si="13"/>
        <v>Mon</v>
      </c>
    </row>
    <row r="444" spans="1:6" x14ac:dyDescent="0.3">
      <c r="A444" s="1">
        <v>45825</v>
      </c>
      <c r="B444" t="s">
        <v>15</v>
      </c>
      <c r="C444">
        <v>35</v>
      </c>
      <c r="D444">
        <v>617000</v>
      </c>
      <c r="E444" t="str">
        <f t="shared" si="12"/>
        <v>2025-06</v>
      </c>
      <c r="F444" t="str">
        <f t="shared" si="13"/>
        <v>Tue</v>
      </c>
    </row>
    <row r="445" spans="1:6" x14ac:dyDescent="0.3">
      <c r="A445" s="1">
        <v>45826</v>
      </c>
      <c r="B445" t="s">
        <v>15</v>
      </c>
      <c r="C445">
        <v>32</v>
      </c>
      <c r="D445">
        <v>582000</v>
      </c>
      <c r="E445" t="str">
        <f t="shared" si="12"/>
        <v>2025-06</v>
      </c>
      <c r="F445" t="str">
        <f t="shared" si="13"/>
        <v>Wed</v>
      </c>
    </row>
    <row r="446" spans="1:6" x14ac:dyDescent="0.3">
      <c r="A446" s="1">
        <v>45827</v>
      </c>
      <c r="B446" t="s">
        <v>15</v>
      </c>
      <c r="C446">
        <v>23</v>
      </c>
      <c r="D446">
        <v>520000</v>
      </c>
      <c r="E446" t="str">
        <f t="shared" si="12"/>
        <v>2025-06</v>
      </c>
      <c r="F446" t="str">
        <f t="shared" si="13"/>
        <v>Thu</v>
      </c>
    </row>
    <row r="447" spans="1:6" x14ac:dyDescent="0.3">
      <c r="A447" s="1">
        <v>45828</v>
      </c>
      <c r="B447" t="s">
        <v>15</v>
      </c>
      <c r="C447">
        <v>28</v>
      </c>
      <c r="D447">
        <v>560000</v>
      </c>
      <c r="E447" t="str">
        <f t="shared" si="12"/>
        <v>2025-06</v>
      </c>
      <c r="F447" t="str">
        <f t="shared" si="13"/>
        <v>Fri</v>
      </c>
    </row>
    <row r="448" spans="1:6" x14ac:dyDescent="0.3">
      <c r="A448" s="1">
        <v>45829</v>
      </c>
      <c r="B448" t="s">
        <v>15</v>
      </c>
      <c r="C448">
        <v>43</v>
      </c>
      <c r="D448">
        <v>829000</v>
      </c>
      <c r="E448" t="str">
        <f t="shared" si="12"/>
        <v>2025-06</v>
      </c>
      <c r="F448" t="str">
        <f t="shared" si="13"/>
        <v>Sat</v>
      </c>
    </row>
    <row r="449" spans="1:6" x14ac:dyDescent="0.3">
      <c r="A449" s="1">
        <v>45830</v>
      </c>
      <c r="B449" t="s">
        <v>15</v>
      </c>
      <c r="C449">
        <v>39</v>
      </c>
      <c r="D449">
        <v>793000</v>
      </c>
      <c r="E449" t="str">
        <f t="shared" si="12"/>
        <v>2025-06</v>
      </c>
      <c r="F449" t="str">
        <f t="shared" si="13"/>
        <v>Sun</v>
      </c>
    </row>
    <row r="450" spans="1:6" x14ac:dyDescent="0.3">
      <c r="A450" s="1">
        <v>45831</v>
      </c>
      <c r="B450" t="s">
        <v>15</v>
      </c>
      <c r="C450">
        <v>26</v>
      </c>
      <c r="D450">
        <v>565000</v>
      </c>
      <c r="E450" t="str">
        <f t="shared" ref="E450:E513" si="14">TEXT(A450,"yyyy-mm")</f>
        <v>2025-06</v>
      </c>
      <c r="F450" t="str">
        <f t="shared" ref="F450:F513" si="15">TEXT(A450,"ddd")</f>
        <v>Mon</v>
      </c>
    </row>
    <row r="451" spans="1:6" x14ac:dyDescent="0.3">
      <c r="A451" s="1">
        <v>45832</v>
      </c>
      <c r="B451" t="s">
        <v>15</v>
      </c>
      <c r="C451">
        <v>29</v>
      </c>
      <c r="D451">
        <v>599000</v>
      </c>
      <c r="E451" t="str">
        <f t="shared" si="14"/>
        <v>2025-06</v>
      </c>
      <c r="F451" t="str">
        <f t="shared" si="15"/>
        <v>Tue</v>
      </c>
    </row>
    <row r="452" spans="1:6" x14ac:dyDescent="0.3">
      <c r="A452" s="1">
        <v>45833</v>
      </c>
      <c r="B452" t="s">
        <v>15</v>
      </c>
      <c r="C452">
        <v>30</v>
      </c>
      <c r="D452">
        <v>631000</v>
      </c>
      <c r="E452" t="str">
        <f t="shared" si="14"/>
        <v>2025-06</v>
      </c>
      <c r="F452" t="str">
        <f t="shared" si="15"/>
        <v>Wed</v>
      </c>
    </row>
    <row r="453" spans="1:6" x14ac:dyDescent="0.3">
      <c r="A453" s="1">
        <v>45834</v>
      </c>
      <c r="B453" t="s">
        <v>15</v>
      </c>
      <c r="C453">
        <v>32</v>
      </c>
      <c r="D453">
        <v>738000</v>
      </c>
      <c r="E453" t="str">
        <f t="shared" si="14"/>
        <v>2025-06</v>
      </c>
      <c r="F453" t="str">
        <f t="shared" si="15"/>
        <v>Thu</v>
      </c>
    </row>
    <row r="454" spans="1:6" x14ac:dyDescent="0.3">
      <c r="A454" s="1">
        <v>45835</v>
      </c>
      <c r="B454" t="s">
        <v>15</v>
      </c>
      <c r="C454">
        <v>27</v>
      </c>
      <c r="D454">
        <v>535000</v>
      </c>
      <c r="E454" t="str">
        <f t="shared" si="14"/>
        <v>2025-06</v>
      </c>
      <c r="F454" t="str">
        <f t="shared" si="15"/>
        <v>Fri</v>
      </c>
    </row>
    <row r="455" spans="1:6" x14ac:dyDescent="0.3">
      <c r="A455" s="1">
        <v>45836</v>
      </c>
      <c r="B455" t="s">
        <v>15</v>
      </c>
      <c r="C455">
        <v>42</v>
      </c>
      <c r="D455">
        <v>834000</v>
      </c>
      <c r="E455" t="str">
        <f t="shared" si="14"/>
        <v>2025-06</v>
      </c>
      <c r="F455" t="str">
        <f t="shared" si="15"/>
        <v>Sat</v>
      </c>
    </row>
    <row r="456" spans="1:6" x14ac:dyDescent="0.3">
      <c r="A456" s="1">
        <v>45837</v>
      </c>
      <c r="B456" t="s">
        <v>15</v>
      </c>
      <c r="C456">
        <v>40</v>
      </c>
      <c r="D456">
        <v>799000</v>
      </c>
      <c r="E456" t="str">
        <f t="shared" si="14"/>
        <v>2025-06</v>
      </c>
      <c r="F456" t="str">
        <f t="shared" si="15"/>
        <v>Sun</v>
      </c>
    </row>
    <row r="457" spans="1:6" x14ac:dyDescent="0.3">
      <c r="A457" s="1">
        <v>45838</v>
      </c>
      <c r="B457" t="s">
        <v>15</v>
      </c>
      <c r="C457">
        <v>23</v>
      </c>
      <c r="D457">
        <v>548000</v>
      </c>
      <c r="E457" t="str">
        <f t="shared" si="14"/>
        <v>2025-06</v>
      </c>
      <c r="F457" t="str">
        <f t="shared" si="15"/>
        <v>Mon</v>
      </c>
    </row>
    <row r="458" spans="1:6" x14ac:dyDescent="0.3">
      <c r="A458" s="1">
        <v>45839</v>
      </c>
      <c r="B458" t="s">
        <v>15</v>
      </c>
      <c r="C458">
        <v>13</v>
      </c>
      <c r="D458">
        <v>310000</v>
      </c>
      <c r="E458" t="str">
        <f t="shared" si="14"/>
        <v>2025-07</v>
      </c>
      <c r="F458" t="str">
        <f t="shared" si="15"/>
        <v>Tue</v>
      </c>
    </row>
    <row r="459" spans="1:6" x14ac:dyDescent="0.3">
      <c r="A459" s="1">
        <v>45840</v>
      </c>
      <c r="B459" t="s">
        <v>15</v>
      </c>
      <c r="C459">
        <v>14</v>
      </c>
      <c r="D459">
        <v>323000</v>
      </c>
      <c r="E459" t="str">
        <f t="shared" si="14"/>
        <v>2025-07</v>
      </c>
      <c r="F459" t="str">
        <f t="shared" si="15"/>
        <v>Wed</v>
      </c>
    </row>
    <row r="460" spans="1:6" x14ac:dyDescent="0.3">
      <c r="A460" s="1">
        <v>45841</v>
      </c>
      <c r="B460" t="s">
        <v>15</v>
      </c>
      <c r="C460">
        <v>18</v>
      </c>
      <c r="D460">
        <v>381000</v>
      </c>
      <c r="E460" t="str">
        <f t="shared" si="14"/>
        <v>2025-07</v>
      </c>
      <c r="F460" t="str">
        <f t="shared" si="15"/>
        <v>Thu</v>
      </c>
    </row>
    <row r="461" spans="1:6" x14ac:dyDescent="0.3">
      <c r="A461" s="1">
        <v>45842</v>
      </c>
      <c r="B461" t="s">
        <v>15</v>
      </c>
      <c r="C461">
        <v>17</v>
      </c>
      <c r="D461">
        <v>349000</v>
      </c>
      <c r="E461" t="str">
        <f t="shared" si="14"/>
        <v>2025-07</v>
      </c>
      <c r="F461" t="str">
        <f t="shared" si="15"/>
        <v>Fri</v>
      </c>
    </row>
    <row r="462" spans="1:6" x14ac:dyDescent="0.3">
      <c r="A462" s="1">
        <v>45843</v>
      </c>
      <c r="B462" t="s">
        <v>15</v>
      </c>
      <c r="C462">
        <v>20</v>
      </c>
      <c r="D462">
        <v>461000</v>
      </c>
      <c r="E462" t="str">
        <f t="shared" si="14"/>
        <v>2025-07</v>
      </c>
      <c r="F462" t="str">
        <f t="shared" si="15"/>
        <v>Sat</v>
      </c>
    </row>
    <row r="463" spans="1:6" x14ac:dyDescent="0.3">
      <c r="A463" s="1">
        <v>45844</v>
      </c>
      <c r="B463" t="s">
        <v>15</v>
      </c>
      <c r="C463">
        <v>26</v>
      </c>
      <c r="D463">
        <v>517000</v>
      </c>
      <c r="E463" t="str">
        <f t="shared" si="14"/>
        <v>2025-07</v>
      </c>
      <c r="F463" t="str">
        <f t="shared" si="15"/>
        <v>Sun</v>
      </c>
    </row>
    <row r="464" spans="1:6" x14ac:dyDescent="0.3">
      <c r="A464" s="1">
        <v>45845</v>
      </c>
      <c r="B464" t="s">
        <v>15</v>
      </c>
      <c r="C464">
        <v>16</v>
      </c>
      <c r="D464">
        <v>366000</v>
      </c>
      <c r="E464" t="str">
        <f t="shared" si="14"/>
        <v>2025-07</v>
      </c>
      <c r="F464" t="str">
        <f t="shared" si="15"/>
        <v>Mon</v>
      </c>
    </row>
    <row r="465" spans="1:6" x14ac:dyDescent="0.3">
      <c r="A465" s="1">
        <v>45846</v>
      </c>
      <c r="B465" t="s">
        <v>15</v>
      </c>
      <c r="C465">
        <v>16</v>
      </c>
      <c r="D465">
        <v>348000</v>
      </c>
      <c r="E465" t="str">
        <f t="shared" si="14"/>
        <v>2025-07</v>
      </c>
      <c r="F465" t="str">
        <f t="shared" si="15"/>
        <v>Tue</v>
      </c>
    </row>
    <row r="466" spans="1:6" x14ac:dyDescent="0.3">
      <c r="A466" s="1">
        <v>45847</v>
      </c>
      <c r="B466" t="s">
        <v>15</v>
      </c>
      <c r="C466">
        <v>19</v>
      </c>
      <c r="D466">
        <v>370000</v>
      </c>
      <c r="E466" t="str">
        <f t="shared" si="14"/>
        <v>2025-07</v>
      </c>
      <c r="F466" t="str">
        <f t="shared" si="15"/>
        <v>Wed</v>
      </c>
    </row>
    <row r="467" spans="1:6" x14ac:dyDescent="0.3">
      <c r="A467" s="1">
        <v>45848</v>
      </c>
      <c r="B467" t="s">
        <v>15</v>
      </c>
      <c r="C467">
        <v>16</v>
      </c>
      <c r="D467">
        <v>327000</v>
      </c>
      <c r="E467" t="str">
        <f t="shared" si="14"/>
        <v>2025-07</v>
      </c>
      <c r="F467" t="str">
        <f t="shared" si="15"/>
        <v>Thu</v>
      </c>
    </row>
    <row r="468" spans="1:6" x14ac:dyDescent="0.3">
      <c r="A468" s="1">
        <v>45849</v>
      </c>
      <c r="B468" t="s">
        <v>15</v>
      </c>
      <c r="C468">
        <v>18</v>
      </c>
      <c r="D468">
        <v>379000</v>
      </c>
      <c r="E468" t="str">
        <f t="shared" si="14"/>
        <v>2025-07</v>
      </c>
      <c r="F468" t="str">
        <f t="shared" si="15"/>
        <v>Fri</v>
      </c>
    </row>
    <row r="469" spans="1:6" x14ac:dyDescent="0.3">
      <c r="A469" s="1">
        <v>45850</v>
      </c>
      <c r="B469" t="s">
        <v>15</v>
      </c>
      <c r="C469">
        <v>21</v>
      </c>
      <c r="D469">
        <v>511000</v>
      </c>
      <c r="E469" t="str">
        <f t="shared" si="14"/>
        <v>2025-07</v>
      </c>
      <c r="F469" t="str">
        <f t="shared" si="15"/>
        <v>Sat</v>
      </c>
    </row>
    <row r="470" spans="1:6" x14ac:dyDescent="0.3">
      <c r="A470" s="1">
        <v>45851</v>
      </c>
      <c r="B470" t="s">
        <v>15</v>
      </c>
      <c r="C470">
        <v>18</v>
      </c>
      <c r="D470">
        <v>468000</v>
      </c>
      <c r="E470" t="str">
        <f t="shared" si="14"/>
        <v>2025-07</v>
      </c>
      <c r="F470" t="str">
        <f t="shared" si="15"/>
        <v>Sun</v>
      </c>
    </row>
    <row r="471" spans="1:6" x14ac:dyDescent="0.3">
      <c r="A471" s="1">
        <v>45852</v>
      </c>
      <c r="B471" t="s">
        <v>15</v>
      </c>
      <c r="C471">
        <v>15</v>
      </c>
      <c r="D471">
        <v>313000</v>
      </c>
      <c r="E471" t="str">
        <f t="shared" si="14"/>
        <v>2025-07</v>
      </c>
      <c r="F471" t="str">
        <f t="shared" si="15"/>
        <v>Mon</v>
      </c>
    </row>
    <row r="472" spans="1:6" x14ac:dyDescent="0.3">
      <c r="A472" s="1">
        <v>45853</v>
      </c>
      <c r="B472" t="s">
        <v>15</v>
      </c>
      <c r="C472">
        <v>20</v>
      </c>
      <c r="D472">
        <v>411000</v>
      </c>
      <c r="E472" t="str">
        <f t="shared" si="14"/>
        <v>2025-07</v>
      </c>
      <c r="F472" t="str">
        <f t="shared" si="15"/>
        <v>Tue</v>
      </c>
    </row>
    <row r="473" spans="1:6" x14ac:dyDescent="0.3">
      <c r="A473" s="1">
        <v>45854</v>
      </c>
      <c r="B473" t="s">
        <v>15</v>
      </c>
      <c r="C473">
        <v>22</v>
      </c>
      <c r="D473">
        <v>361000</v>
      </c>
      <c r="E473" t="str">
        <f t="shared" si="14"/>
        <v>2025-07</v>
      </c>
      <c r="F473" t="str">
        <f t="shared" si="15"/>
        <v>Wed</v>
      </c>
    </row>
    <row r="474" spans="1:6" x14ac:dyDescent="0.3">
      <c r="A474" s="1">
        <v>45855</v>
      </c>
      <c r="B474" t="s">
        <v>15</v>
      </c>
      <c r="C474">
        <v>22</v>
      </c>
      <c r="D474">
        <v>466000</v>
      </c>
      <c r="E474" t="str">
        <f t="shared" si="14"/>
        <v>2025-07</v>
      </c>
      <c r="F474" t="str">
        <f t="shared" si="15"/>
        <v>Thu</v>
      </c>
    </row>
    <row r="475" spans="1:6" x14ac:dyDescent="0.3">
      <c r="A475" s="1">
        <v>45856</v>
      </c>
      <c r="B475" t="s">
        <v>15</v>
      </c>
      <c r="C475">
        <v>16</v>
      </c>
      <c r="D475">
        <v>334000</v>
      </c>
      <c r="E475" t="str">
        <f t="shared" si="14"/>
        <v>2025-07</v>
      </c>
      <c r="F475" t="str">
        <f t="shared" si="15"/>
        <v>Fri</v>
      </c>
    </row>
    <row r="476" spans="1:6" x14ac:dyDescent="0.3">
      <c r="A476" s="1">
        <v>45857</v>
      </c>
      <c r="B476" t="s">
        <v>15</v>
      </c>
      <c r="C476">
        <v>28</v>
      </c>
      <c r="D476">
        <v>531000</v>
      </c>
      <c r="E476" t="str">
        <f t="shared" si="14"/>
        <v>2025-07</v>
      </c>
      <c r="F476" t="str">
        <f t="shared" si="15"/>
        <v>Sat</v>
      </c>
    </row>
    <row r="477" spans="1:6" x14ac:dyDescent="0.3">
      <c r="A477" s="1">
        <v>45858</v>
      </c>
      <c r="B477" t="s">
        <v>15</v>
      </c>
      <c r="C477">
        <v>21</v>
      </c>
      <c r="D477">
        <v>468000</v>
      </c>
      <c r="E477" t="str">
        <f t="shared" si="14"/>
        <v>2025-07</v>
      </c>
      <c r="F477" t="str">
        <f t="shared" si="15"/>
        <v>Sun</v>
      </c>
    </row>
    <row r="478" spans="1:6" x14ac:dyDescent="0.3">
      <c r="A478" s="1">
        <v>45859</v>
      </c>
      <c r="B478" t="s">
        <v>15</v>
      </c>
      <c r="C478">
        <v>21</v>
      </c>
      <c r="D478">
        <v>367000</v>
      </c>
      <c r="E478" t="str">
        <f t="shared" si="14"/>
        <v>2025-07</v>
      </c>
      <c r="F478" t="str">
        <f t="shared" si="15"/>
        <v>Mon</v>
      </c>
    </row>
    <row r="479" spans="1:6" x14ac:dyDescent="0.3">
      <c r="A479" s="1">
        <v>45860</v>
      </c>
      <c r="B479" t="s">
        <v>15</v>
      </c>
      <c r="C479">
        <v>19</v>
      </c>
      <c r="D479">
        <v>388000</v>
      </c>
      <c r="E479" t="str">
        <f t="shared" si="14"/>
        <v>2025-07</v>
      </c>
      <c r="F479" t="str">
        <f t="shared" si="15"/>
        <v>Tue</v>
      </c>
    </row>
    <row r="480" spans="1:6" x14ac:dyDescent="0.3">
      <c r="A480" s="1">
        <v>45861</v>
      </c>
      <c r="B480" t="s">
        <v>15</v>
      </c>
      <c r="C480">
        <v>15</v>
      </c>
      <c r="D480">
        <v>330000</v>
      </c>
      <c r="E480" t="str">
        <f t="shared" si="14"/>
        <v>2025-07</v>
      </c>
      <c r="F480" t="str">
        <f t="shared" si="15"/>
        <v>Wed</v>
      </c>
    </row>
    <row r="481" spans="1:6" x14ac:dyDescent="0.3">
      <c r="A481" s="1">
        <v>45862</v>
      </c>
      <c r="B481" t="s">
        <v>15</v>
      </c>
      <c r="C481">
        <v>19</v>
      </c>
      <c r="D481">
        <v>355000</v>
      </c>
      <c r="E481" t="str">
        <f t="shared" si="14"/>
        <v>2025-07</v>
      </c>
      <c r="F481" t="str">
        <f t="shared" si="15"/>
        <v>Thu</v>
      </c>
    </row>
    <row r="482" spans="1:6" x14ac:dyDescent="0.3">
      <c r="A482" s="1">
        <v>45863</v>
      </c>
      <c r="B482" t="s">
        <v>15</v>
      </c>
      <c r="C482">
        <v>16</v>
      </c>
      <c r="D482">
        <v>364000</v>
      </c>
      <c r="E482" t="str">
        <f t="shared" si="14"/>
        <v>2025-07</v>
      </c>
      <c r="F482" t="str">
        <f t="shared" si="15"/>
        <v>Fri</v>
      </c>
    </row>
    <row r="483" spans="1:6" x14ac:dyDescent="0.3">
      <c r="A483" s="1">
        <v>45864</v>
      </c>
      <c r="B483" t="s">
        <v>15</v>
      </c>
      <c r="C483">
        <v>21</v>
      </c>
      <c r="D483">
        <v>496000</v>
      </c>
      <c r="E483" t="str">
        <f t="shared" si="14"/>
        <v>2025-07</v>
      </c>
      <c r="F483" t="str">
        <f t="shared" si="15"/>
        <v>Sat</v>
      </c>
    </row>
    <row r="484" spans="1:6" x14ac:dyDescent="0.3">
      <c r="A484" s="1">
        <v>45865</v>
      </c>
      <c r="B484" t="s">
        <v>15</v>
      </c>
      <c r="C484">
        <v>29</v>
      </c>
      <c r="D484">
        <v>520000</v>
      </c>
      <c r="E484" t="str">
        <f t="shared" si="14"/>
        <v>2025-07</v>
      </c>
      <c r="F484" t="str">
        <f t="shared" si="15"/>
        <v>Sun</v>
      </c>
    </row>
    <row r="485" spans="1:6" x14ac:dyDescent="0.3">
      <c r="A485" s="1">
        <v>45866</v>
      </c>
      <c r="B485" t="s">
        <v>15</v>
      </c>
      <c r="C485">
        <v>22</v>
      </c>
      <c r="D485">
        <v>396000</v>
      </c>
      <c r="E485" t="str">
        <f t="shared" si="14"/>
        <v>2025-07</v>
      </c>
      <c r="F485" t="str">
        <f t="shared" si="15"/>
        <v>Mon</v>
      </c>
    </row>
    <row r="486" spans="1:6" x14ac:dyDescent="0.3">
      <c r="A486" s="1">
        <v>45867</v>
      </c>
      <c r="B486" t="s">
        <v>15</v>
      </c>
      <c r="C486">
        <v>18</v>
      </c>
      <c r="D486">
        <v>389000</v>
      </c>
      <c r="E486" t="str">
        <f t="shared" si="14"/>
        <v>2025-07</v>
      </c>
      <c r="F486" t="str">
        <f t="shared" si="15"/>
        <v>Tue</v>
      </c>
    </row>
    <row r="487" spans="1:6" x14ac:dyDescent="0.3">
      <c r="A487" s="1">
        <v>45868</v>
      </c>
      <c r="B487" t="s">
        <v>15</v>
      </c>
      <c r="C487">
        <v>18</v>
      </c>
      <c r="D487">
        <v>369000</v>
      </c>
      <c r="E487" t="str">
        <f t="shared" si="14"/>
        <v>2025-07</v>
      </c>
      <c r="F487" t="str">
        <f t="shared" si="15"/>
        <v>Wed</v>
      </c>
    </row>
    <row r="488" spans="1:6" x14ac:dyDescent="0.3">
      <c r="A488" s="1">
        <v>45869</v>
      </c>
      <c r="B488" t="s">
        <v>15</v>
      </c>
      <c r="C488">
        <v>19</v>
      </c>
      <c r="D488">
        <v>347000</v>
      </c>
      <c r="E488" t="str">
        <f t="shared" si="14"/>
        <v>2025-07</v>
      </c>
      <c r="F488" t="str">
        <f t="shared" si="15"/>
        <v>Thu</v>
      </c>
    </row>
    <row r="489" spans="1:6" x14ac:dyDescent="0.3">
      <c r="A489" s="1">
        <v>45870</v>
      </c>
      <c r="B489" t="s">
        <v>15</v>
      </c>
      <c r="C489">
        <v>28</v>
      </c>
      <c r="D489">
        <v>580000</v>
      </c>
      <c r="E489" t="str">
        <f t="shared" si="14"/>
        <v>2025-08</v>
      </c>
      <c r="F489" t="str">
        <f t="shared" si="15"/>
        <v>Fri</v>
      </c>
    </row>
    <row r="490" spans="1:6" x14ac:dyDescent="0.3">
      <c r="A490" s="1">
        <v>45871</v>
      </c>
      <c r="B490" t="s">
        <v>15</v>
      </c>
      <c r="C490">
        <v>40</v>
      </c>
      <c r="D490">
        <v>829000</v>
      </c>
      <c r="E490" t="str">
        <f t="shared" si="14"/>
        <v>2025-08</v>
      </c>
      <c r="F490" t="str">
        <f t="shared" si="15"/>
        <v>Sat</v>
      </c>
    </row>
    <row r="491" spans="1:6" x14ac:dyDescent="0.3">
      <c r="A491" s="1">
        <v>45872</v>
      </c>
      <c r="B491" t="s">
        <v>15</v>
      </c>
      <c r="C491">
        <v>41</v>
      </c>
      <c r="D491">
        <v>848000</v>
      </c>
      <c r="E491" t="str">
        <f t="shared" si="14"/>
        <v>2025-08</v>
      </c>
      <c r="F491" t="str">
        <f t="shared" si="15"/>
        <v>Sun</v>
      </c>
    </row>
    <row r="492" spans="1:6" x14ac:dyDescent="0.3">
      <c r="A492" s="1">
        <v>45873</v>
      </c>
      <c r="B492" t="s">
        <v>15</v>
      </c>
      <c r="C492">
        <v>31</v>
      </c>
      <c r="D492">
        <v>699000</v>
      </c>
      <c r="E492" t="str">
        <f t="shared" si="14"/>
        <v>2025-08</v>
      </c>
      <c r="F492" t="str">
        <f t="shared" si="15"/>
        <v>Mon</v>
      </c>
    </row>
    <row r="493" spans="1:6" x14ac:dyDescent="0.3">
      <c r="A493" s="1">
        <v>45874</v>
      </c>
      <c r="B493" t="s">
        <v>15</v>
      </c>
      <c r="C493">
        <v>29</v>
      </c>
      <c r="D493">
        <v>631000</v>
      </c>
      <c r="E493" t="str">
        <f t="shared" si="14"/>
        <v>2025-08</v>
      </c>
      <c r="F493" t="str">
        <f t="shared" si="15"/>
        <v>Tue</v>
      </c>
    </row>
    <row r="494" spans="1:6" x14ac:dyDescent="0.3">
      <c r="A494" s="1">
        <v>45875</v>
      </c>
      <c r="B494" t="s">
        <v>15</v>
      </c>
      <c r="C494">
        <v>23</v>
      </c>
      <c r="D494">
        <v>573000</v>
      </c>
      <c r="E494" t="str">
        <f t="shared" si="14"/>
        <v>2025-08</v>
      </c>
      <c r="F494" t="str">
        <f t="shared" si="15"/>
        <v>Wed</v>
      </c>
    </row>
    <row r="495" spans="1:6" x14ac:dyDescent="0.3">
      <c r="A495" s="1">
        <v>45876</v>
      </c>
      <c r="B495" t="s">
        <v>15</v>
      </c>
      <c r="C495">
        <v>29</v>
      </c>
      <c r="D495">
        <v>696000</v>
      </c>
      <c r="E495" t="str">
        <f t="shared" si="14"/>
        <v>2025-08</v>
      </c>
      <c r="F495" t="str">
        <f t="shared" si="15"/>
        <v>Thu</v>
      </c>
    </row>
    <row r="496" spans="1:6" x14ac:dyDescent="0.3">
      <c r="A496" s="1">
        <v>45877</v>
      </c>
      <c r="B496" t="s">
        <v>15</v>
      </c>
      <c r="C496">
        <v>27</v>
      </c>
      <c r="D496">
        <v>603000</v>
      </c>
      <c r="E496" t="str">
        <f t="shared" si="14"/>
        <v>2025-08</v>
      </c>
      <c r="F496" t="str">
        <f t="shared" si="15"/>
        <v>Fri</v>
      </c>
    </row>
    <row r="497" spans="1:6" x14ac:dyDescent="0.3">
      <c r="A497" s="1">
        <v>45878</v>
      </c>
      <c r="B497" t="s">
        <v>15</v>
      </c>
      <c r="C497">
        <v>36</v>
      </c>
      <c r="D497">
        <v>828000</v>
      </c>
      <c r="E497" t="str">
        <f t="shared" si="14"/>
        <v>2025-08</v>
      </c>
      <c r="F497" t="str">
        <f t="shared" si="15"/>
        <v>Sat</v>
      </c>
    </row>
    <row r="498" spans="1:6" x14ac:dyDescent="0.3">
      <c r="A498" s="1">
        <v>45879</v>
      </c>
      <c r="B498" t="s">
        <v>15</v>
      </c>
      <c r="C498">
        <v>37</v>
      </c>
      <c r="D498">
        <v>877000</v>
      </c>
      <c r="E498" t="str">
        <f t="shared" si="14"/>
        <v>2025-08</v>
      </c>
      <c r="F498" t="str">
        <f t="shared" si="15"/>
        <v>Sun</v>
      </c>
    </row>
    <row r="499" spans="1:6" x14ac:dyDescent="0.3">
      <c r="A499" s="1">
        <v>45880</v>
      </c>
      <c r="B499" t="s">
        <v>15</v>
      </c>
      <c r="C499">
        <v>31</v>
      </c>
      <c r="D499">
        <v>687000</v>
      </c>
      <c r="E499" t="str">
        <f t="shared" si="14"/>
        <v>2025-08</v>
      </c>
      <c r="F499" t="str">
        <f t="shared" si="15"/>
        <v>Mon</v>
      </c>
    </row>
    <row r="500" spans="1:6" x14ac:dyDescent="0.3">
      <c r="A500" s="1">
        <v>45881</v>
      </c>
      <c r="B500" t="s">
        <v>15</v>
      </c>
      <c r="C500">
        <v>27</v>
      </c>
      <c r="D500">
        <v>498000</v>
      </c>
      <c r="E500" t="str">
        <f t="shared" si="14"/>
        <v>2025-08</v>
      </c>
      <c r="F500" t="str">
        <f t="shared" si="15"/>
        <v>Tue</v>
      </c>
    </row>
    <row r="501" spans="1:6" x14ac:dyDescent="0.3">
      <c r="A501" s="1">
        <v>45882</v>
      </c>
      <c r="B501" t="s">
        <v>15</v>
      </c>
      <c r="C501">
        <v>26</v>
      </c>
      <c r="D501">
        <v>583000</v>
      </c>
      <c r="E501" t="str">
        <f t="shared" si="14"/>
        <v>2025-08</v>
      </c>
      <c r="F501" t="str">
        <f t="shared" si="15"/>
        <v>Wed</v>
      </c>
    </row>
    <row r="502" spans="1:6" x14ac:dyDescent="0.3">
      <c r="A502" s="1">
        <v>45883</v>
      </c>
      <c r="B502" t="s">
        <v>15</v>
      </c>
      <c r="C502">
        <v>32</v>
      </c>
      <c r="D502">
        <v>668000</v>
      </c>
      <c r="E502" t="str">
        <f t="shared" si="14"/>
        <v>2025-08</v>
      </c>
      <c r="F502" t="str">
        <f t="shared" si="15"/>
        <v>Thu</v>
      </c>
    </row>
    <row r="503" spans="1:6" x14ac:dyDescent="0.3">
      <c r="A503" s="1">
        <v>45884</v>
      </c>
      <c r="B503" t="s">
        <v>15</v>
      </c>
      <c r="C503">
        <v>26</v>
      </c>
      <c r="D503">
        <v>633000</v>
      </c>
      <c r="E503" t="str">
        <f t="shared" si="14"/>
        <v>2025-08</v>
      </c>
      <c r="F503" t="str">
        <f t="shared" si="15"/>
        <v>Fri</v>
      </c>
    </row>
    <row r="504" spans="1:6" x14ac:dyDescent="0.3">
      <c r="A504" s="1">
        <v>45885</v>
      </c>
      <c r="B504" t="s">
        <v>15</v>
      </c>
      <c r="C504">
        <v>39</v>
      </c>
      <c r="D504">
        <v>822000</v>
      </c>
      <c r="E504" t="str">
        <f t="shared" si="14"/>
        <v>2025-08</v>
      </c>
      <c r="F504" t="str">
        <f t="shared" si="15"/>
        <v>Sat</v>
      </c>
    </row>
    <row r="505" spans="1:6" x14ac:dyDescent="0.3">
      <c r="A505" s="1">
        <v>45886</v>
      </c>
      <c r="B505" t="s">
        <v>15</v>
      </c>
      <c r="C505">
        <v>39</v>
      </c>
      <c r="D505">
        <v>851000</v>
      </c>
      <c r="E505" t="str">
        <f t="shared" si="14"/>
        <v>2025-08</v>
      </c>
      <c r="F505" t="str">
        <f t="shared" si="15"/>
        <v>Sun</v>
      </c>
    </row>
    <row r="506" spans="1:6" x14ac:dyDescent="0.3">
      <c r="A506" s="1">
        <v>45887</v>
      </c>
      <c r="B506" t="s">
        <v>15</v>
      </c>
      <c r="C506">
        <v>35</v>
      </c>
      <c r="D506">
        <v>749000</v>
      </c>
      <c r="E506" t="str">
        <f t="shared" si="14"/>
        <v>2025-08</v>
      </c>
      <c r="F506" t="str">
        <f t="shared" si="15"/>
        <v>Mon</v>
      </c>
    </row>
    <row r="507" spans="1:6" x14ac:dyDescent="0.3">
      <c r="A507" s="1">
        <v>45888</v>
      </c>
      <c r="B507" t="s">
        <v>15</v>
      </c>
      <c r="C507">
        <v>26</v>
      </c>
      <c r="D507">
        <v>628000</v>
      </c>
      <c r="E507" t="str">
        <f t="shared" si="14"/>
        <v>2025-08</v>
      </c>
      <c r="F507" t="str">
        <f t="shared" si="15"/>
        <v>Tue</v>
      </c>
    </row>
    <row r="508" spans="1:6" x14ac:dyDescent="0.3">
      <c r="A508" s="1">
        <v>45889</v>
      </c>
      <c r="B508" t="s">
        <v>15</v>
      </c>
      <c r="C508">
        <v>33</v>
      </c>
      <c r="D508">
        <v>705000</v>
      </c>
      <c r="E508" t="str">
        <f t="shared" si="14"/>
        <v>2025-08</v>
      </c>
      <c r="F508" t="str">
        <f t="shared" si="15"/>
        <v>Wed</v>
      </c>
    </row>
    <row r="509" spans="1:6" x14ac:dyDescent="0.3">
      <c r="A509" s="1">
        <v>45890</v>
      </c>
      <c r="B509" t="s">
        <v>15</v>
      </c>
      <c r="C509">
        <v>35</v>
      </c>
      <c r="D509">
        <v>711000</v>
      </c>
      <c r="E509" t="str">
        <f t="shared" si="14"/>
        <v>2025-08</v>
      </c>
      <c r="F509" t="str">
        <f t="shared" si="15"/>
        <v>Thu</v>
      </c>
    </row>
    <row r="510" spans="1:6" x14ac:dyDescent="0.3">
      <c r="A510" s="1">
        <v>45891</v>
      </c>
      <c r="B510" t="s">
        <v>15</v>
      </c>
      <c r="C510">
        <v>29</v>
      </c>
      <c r="D510">
        <v>629000</v>
      </c>
      <c r="E510" t="str">
        <f t="shared" si="14"/>
        <v>2025-08</v>
      </c>
      <c r="F510" t="str">
        <f t="shared" si="15"/>
        <v>Fri</v>
      </c>
    </row>
    <row r="511" spans="1:6" x14ac:dyDescent="0.3">
      <c r="A511" s="1">
        <v>45892</v>
      </c>
      <c r="B511" t="s">
        <v>15</v>
      </c>
      <c r="C511">
        <v>47</v>
      </c>
      <c r="D511">
        <v>942000</v>
      </c>
      <c r="E511" t="str">
        <f t="shared" si="14"/>
        <v>2025-08</v>
      </c>
      <c r="F511" t="str">
        <f t="shared" si="15"/>
        <v>Sat</v>
      </c>
    </row>
    <row r="512" spans="1:6" x14ac:dyDescent="0.3">
      <c r="A512" s="1">
        <v>45893</v>
      </c>
      <c r="B512" t="s">
        <v>15</v>
      </c>
      <c r="C512">
        <v>40</v>
      </c>
      <c r="D512">
        <v>861000</v>
      </c>
      <c r="E512" t="str">
        <f t="shared" si="14"/>
        <v>2025-08</v>
      </c>
      <c r="F512" t="str">
        <f t="shared" si="15"/>
        <v>Sun</v>
      </c>
    </row>
    <row r="513" spans="1:6" x14ac:dyDescent="0.3">
      <c r="A513" s="1">
        <v>45894</v>
      </c>
      <c r="B513" t="s">
        <v>15</v>
      </c>
      <c r="C513">
        <v>30</v>
      </c>
      <c r="D513">
        <v>619000</v>
      </c>
      <c r="E513" t="str">
        <f t="shared" si="14"/>
        <v>2025-08</v>
      </c>
      <c r="F513" t="str">
        <f t="shared" si="15"/>
        <v>Mon</v>
      </c>
    </row>
    <row r="514" spans="1:6" x14ac:dyDescent="0.3">
      <c r="A514" s="1">
        <v>45895</v>
      </c>
      <c r="B514" t="s">
        <v>15</v>
      </c>
      <c r="C514">
        <v>27</v>
      </c>
      <c r="D514">
        <v>585000</v>
      </c>
      <c r="E514" t="str">
        <f t="shared" ref="E514:E577" si="16">TEXT(A514,"yyyy-mm")</f>
        <v>2025-08</v>
      </c>
      <c r="F514" t="str">
        <f t="shared" ref="F514:F577" si="17">TEXT(A514,"ddd")</f>
        <v>Tue</v>
      </c>
    </row>
    <row r="515" spans="1:6" x14ac:dyDescent="0.3">
      <c r="A515" s="1">
        <v>45896</v>
      </c>
      <c r="B515" t="s">
        <v>15</v>
      </c>
      <c r="C515">
        <v>29</v>
      </c>
      <c r="D515">
        <v>718000</v>
      </c>
      <c r="E515" t="str">
        <f t="shared" si="16"/>
        <v>2025-08</v>
      </c>
      <c r="F515" t="str">
        <f t="shared" si="17"/>
        <v>Wed</v>
      </c>
    </row>
    <row r="516" spans="1:6" x14ac:dyDescent="0.3">
      <c r="A516" s="1">
        <v>45897</v>
      </c>
      <c r="B516" t="s">
        <v>15</v>
      </c>
      <c r="C516">
        <v>31</v>
      </c>
      <c r="D516">
        <v>634000</v>
      </c>
      <c r="E516" t="str">
        <f t="shared" si="16"/>
        <v>2025-08</v>
      </c>
      <c r="F516" t="str">
        <f t="shared" si="17"/>
        <v>Thu</v>
      </c>
    </row>
    <row r="517" spans="1:6" x14ac:dyDescent="0.3">
      <c r="A517" s="1">
        <v>45898</v>
      </c>
      <c r="B517" t="s">
        <v>15</v>
      </c>
      <c r="C517">
        <v>30</v>
      </c>
      <c r="D517">
        <v>624000</v>
      </c>
      <c r="E517" t="str">
        <f t="shared" si="16"/>
        <v>2025-08</v>
      </c>
      <c r="F517" t="str">
        <f t="shared" si="17"/>
        <v>Fri</v>
      </c>
    </row>
    <row r="518" spans="1:6" x14ac:dyDescent="0.3">
      <c r="A518" s="1">
        <v>45899</v>
      </c>
      <c r="B518" t="s">
        <v>15</v>
      </c>
      <c r="C518">
        <v>39</v>
      </c>
      <c r="D518">
        <v>802000</v>
      </c>
      <c r="E518" t="str">
        <f t="shared" si="16"/>
        <v>2025-08</v>
      </c>
      <c r="F518" t="str">
        <f t="shared" si="17"/>
        <v>Sat</v>
      </c>
    </row>
    <row r="519" spans="1:6" x14ac:dyDescent="0.3">
      <c r="A519" s="1">
        <v>45900</v>
      </c>
      <c r="B519" t="s">
        <v>15</v>
      </c>
      <c r="C519">
        <v>48</v>
      </c>
      <c r="D519">
        <v>1068000</v>
      </c>
      <c r="E519" t="str">
        <f t="shared" si="16"/>
        <v>2025-08</v>
      </c>
      <c r="F519" t="str">
        <f t="shared" si="17"/>
        <v>Sun</v>
      </c>
    </row>
    <row r="520" spans="1:6" x14ac:dyDescent="0.3">
      <c r="A520" s="1">
        <v>45901</v>
      </c>
      <c r="B520" t="s">
        <v>15</v>
      </c>
      <c r="C520">
        <v>38</v>
      </c>
      <c r="D520">
        <v>710000</v>
      </c>
      <c r="E520" t="str">
        <f t="shared" si="16"/>
        <v>2025-09</v>
      </c>
      <c r="F520" t="str">
        <f t="shared" si="17"/>
        <v>Mon</v>
      </c>
    </row>
    <row r="521" spans="1:6" x14ac:dyDescent="0.3">
      <c r="A521" s="1">
        <v>45902</v>
      </c>
      <c r="B521" t="s">
        <v>15</v>
      </c>
      <c r="C521">
        <v>33</v>
      </c>
      <c r="D521">
        <v>653000</v>
      </c>
      <c r="E521" t="str">
        <f t="shared" si="16"/>
        <v>2025-09</v>
      </c>
      <c r="F521" t="str">
        <f t="shared" si="17"/>
        <v>Tue</v>
      </c>
    </row>
    <row r="522" spans="1:6" x14ac:dyDescent="0.3">
      <c r="A522" s="1">
        <v>45903</v>
      </c>
      <c r="B522" t="s">
        <v>15</v>
      </c>
      <c r="C522">
        <v>29</v>
      </c>
      <c r="D522">
        <v>616000</v>
      </c>
      <c r="E522" t="str">
        <f t="shared" si="16"/>
        <v>2025-09</v>
      </c>
      <c r="F522" t="str">
        <f t="shared" si="17"/>
        <v>Wed</v>
      </c>
    </row>
    <row r="523" spans="1:6" x14ac:dyDescent="0.3">
      <c r="A523" s="1">
        <v>45904</v>
      </c>
      <c r="B523" t="s">
        <v>15</v>
      </c>
      <c r="C523">
        <v>25</v>
      </c>
      <c r="D523">
        <v>561000</v>
      </c>
      <c r="E523" t="str">
        <f t="shared" si="16"/>
        <v>2025-09</v>
      </c>
      <c r="F523" t="str">
        <f t="shared" si="17"/>
        <v>Thu</v>
      </c>
    </row>
    <row r="524" spans="1:6" x14ac:dyDescent="0.3">
      <c r="A524" s="1">
        <v>45905</v>
      </c>
      <c r="B524" t="s">
        <v>15</v>
      </c>
      <c r="C524">
        <v>33</v>
      </c>
      <c r="D524">
        <v>681000</v>
      </c>
      <c r="E524" t="str">
        <f t="shared" si="16"/>
        <v>2025-09</v>
      </c>
      <c r="F524" t="str">
        <f t="shared" si="17"/>
        <v>Fri</v>
      </c>
    </row>
    <row r="525" spans="1:6" x14ac:dyDescent="0.3">
      <c r="A525" s="1">
        <v>45906</v>
      </c>
      <c r="B525" t="s">
        <v>15</v>
      </c>
      <c r="C525">
        <v>47</v>
      </c>
      <c r="D525">
        <v>933000</v>
      </c>
      <c r="E525" t="str">
        <f t="shared" si="16"/>
        <v>2025-09</v>
      </c>
      <c r="F525" t="str">
        <f t="shared" si="17"/>
        <v>Sat</v>
      </c>
    </row>
    <row r="526" spans="1:6" x14ac:dyDescent="0.3">
      <c r="A526" s="1">
        <v>45907</v>
      </c>
      <c r="B526" t="s">
        <v>15</v>
      </c>
      <c r="C526">
        <v>40</v>
      </c>
      <c r="D526">
        <v>779000</v>
      </c>
      <c r="E526" t="str">
        <f t="shared" si="16"/>
        <v>2025-09</v>
      </c>
      <c r="F526" t="str">
        <f t="shared" si="17"/>
        <v>Sun</v>
      </c>
    </row>
    <row r="527" spans="1:6" x14ac:dyDescent="0.3">
      <c r="A527" s="1">
        <v>45908</v>
      </c>
      <c r="B527" t="s">
        <v>15</v>
      </c>
      <c r="C527">
        <v>34</v>
      </c>
      <c r="D527">
        <v>740000</v>
      </c>
      <c r="E527" t="str">
        <f t="shared" si="16"/>
        <v>2025-09</v>
      </c>
      <c r="F527" t="str">
        <f t="shared" si="17"/>
        <v>Mon</v>
      </c>
    </row>
    <row r="528" spans="1:6" x14ac:dyDescent="0.3">
      <c r="A528" s="1">
        <v>45909</v>
      </c>
      <c r="B528" t="s">
        <v>15</v>
      </c>
      <c r="C528">
        <v>30</v>
      </c>
      <c r="D528">
        <v>715000</v>
      </c>
      <c r="E528" t="str">
        <f t="shared" si="16"/>
        <v>2025-09</v>
      </c>
      <c r="F528" t="str">
        <f t="shared" si="17"/>
        <v>Tue</v>
      </c>
    </row>
    <row r="529" spans="1:6" x14ac:dyDescent="0.3">
      <c r="A529" s="1">
        <v>45910</v>
      </c>
      <c r="B529" t="s">
        <v>15</v>
      </c>
      <c r="C529">
        <v>28</v>
      </c>
      <c r="D529">
        <v>600000</v>
      </c>
      <c r="E529" t="str">
        <f t="shared" si="16"/>
        <v>2025-09</v>
      </c>
      <c r="F529" t="str">
        <f t="shared" si="17"/>
        <v>Wed</v>
      </c>
    </row>
    <row r="530" spans="1:6" x14ac:dyDescent="0.3">
      <c r="A530" s="1">
        <v>45911</v>
      </c>
      <c r="B530" t="s">
        <v>15</v>
      </c>
      <c r="C530">
        <v>29</v>
      </c>
      <c r="D530">
        <v>627000</v>
      </c>
      <c r="E530" t="str">
        <f t="shared" si="16"/>
        <v>2025-09</v>
      </c>
      <c r="F530" t="str">
        <f t="shared" si="17"/>
        <v>Thu</v>
      </c>
    </row>
    <row r="531" spans="1:6" x14ac:dyDescent="0.3">
      <c r="A531" s="1">
        <v>45912</v>
      </c>
      <c r="B531" t="s">
        <v>15</v>
      </c>
      <c r="C531">
        <v>29</v>
      </c>
      <c r="D531">
        <v>636000</v>
      </c>
      <c r="E531" t="str">
        <f t="shared" si="16"/>
        <v>2025-09</v>
      </c>
      <c r="F531" t="str">
        <f t="shared" si="17"/>
        <v>Fri</v>
      </c>
    </row>
    <row r="532" spans="1:6" x14ac:dyDescent="0.3">
      <c r="A532" s="1">
        <v>45913</v>
      </c>
      <c r="B532" t="s">
        <v>15</v>
      </c>
      <c r="C532">
        <v>48</v>
      </c>
      <c r="D532">
        <v>923000</v>
      </c>
      <c r="E532" t="str">
        <f t="shared" si="16"/>
        <v>2025-09</v>
      </c>
      <c r="F532" t="str">
        <f t="shared" si="17"/>
        <v>Sat</v>
      </c>
    </row>
    <row r="533" spans="1:6" x14ac:dyDescent="0.3">
      <c r="A533" s="1">
        <v>45914</v>
      </c>
      <c r="B533" t="s">
        <v>15</v>
      </c>
      <c r="C533">
        <v>44</v>
      </c>
      <c r="D533">
        <v>896000</v>
      </c>
      <c r="E533" t="str">
        <f t="shared" si="16"/>
        <v>2025-09</v>
      </c>
      <c r="F533" t="str">
        <f t="shared" si="17"/>
        <v>Sun</v>
      </c>
    </row>
    <row r="534" spans="1:6" x14ac:dyDescent="0.3">
      <c r="A534" s="1">
        <v>45915</v>
      </c>
      <c r="B534" t="s">
        <v>15</v>
      </c>
      <c r="C534">
        <v>27</v>
      </c>
      <c r="D534">
        <v>556000</v>
      </c>
      <c r="E534" t="str">
        <f t="shared" si="16"/>
        <v>2025-09</v>
      </c>
      <c r="F534" t="str">
        <f t="shared" si="17"/>
        <v>Mon</v>
      </c>
    </row>
    <row r="535" spans="1:6" x14ac:dyDescent="0.3">
      <c r="A535" s="1">
        <v>45916</v>
      </c>
      <c r="B535" t="s">
        <v>15</v>
      </c>
      <c r="C535">
        <v>35</v>
      </c>
      <c r="D535">
        <v>763000</v>
      </c>
      <c r="E535" t="str">
        <f t="shared" si="16"/>
        <v>2025-09</v>
      </c>
      <c r="F535" t="str">
        <f t="shared" si="17"/>
        <v>Tue</v>
      </c>
    </row>
    <row r="536" spans="1:6" x14ac:dyDescent="0.3">
      <c r="A536" s="1">
        <v>45917</v>
      </c>
      <c r="B536" t="s">
        <v>15</v>
      </c>
      <c r="C536">
        <v>33</v>
      </c>
      <c r="D536">
        <v>686000</v>
      </c>
      <c r="E536" t="str">
        <f t="shared" si="16"/>
        <v>2025-09</v>
      </c>
      <c r="F536" t="str">
        <f t="shared" si="17"/>
        <v>Wed</v>
      </c>
    </row>
    <row r="537" spans="1:6" x14ac:dyDescent="0.3">
      <c r="A537" s="1">
        <v>45918</v>
      </c>
      <c r="B537" t="s">
        <v>15</v>
      </c>
      <c r="C537">
        <v>40</v>
      </c>
      <c r="D537">
        <v>749000</v>
      </c>
      <c r="E537" t="str">
        <f t="shared" si="16"/>
        <v>2025-09</v>
      </c>
      <c r="F537" t="str">
        <f t="shared" si="17"/>
        <v>Thu</v>
      </c>
    </row>
    <row r="538" spans="1:6" x14ac:dyDescent="0.3">
      <c r="A538" s="1">
        <v>45919</v>
      </c>
      <c r="B538" t="s">
        <v>15</v>
      </c>
      <c r="C538">
        <v>32</v>
      </c>
      <c r="D538">
        <v>749000</v>
      </c>
      <c r="E538" t="str">
        <f t="shared" si="16"/>
        <v>2025-09</v>
      </c>
      <c r="F538" t="str">
        <f t="shared" si="17"/>
        <v>Fri</v>
      </c>
    </row>
    <row r="539" spans="1:6" x14ac:dyDescent="0.3">
      <c r="A539" s="1">
        <v>45920</v>
      </c>
      <c r="B539" t="s">
        <v>15</v>
      </c>
      <c r="C539">
        <v>37</v>
      </c>
      <c r="D539">
        <v>892000</v>
      </c>
      <c r="E539" t="str">
        <f t="shared" si="16"/>
        <v>2025-09</v>
      </c>
      <c r="F539" t="str">
        <f t="shared" si="17"/>
        <v>Sat</v>
      </c>
    </row>
    <row r="540" spans="1:6" x14ac:dyDescent="0.3">
      <c r="A540" s="1">
        <v>45921</v>
      </c>
      <c r="B540" t="s">
        <v>15</v>
      </c>
      <c r="C540">
        <v>46</v>
      </c>
      <c r="D540">
        <v>943000</v>
      </c>
      <c r="E540" t="str">
        <f t="shared" si="16"/>
        <v>2025-09</v>
      </c>
      <c r="F540" t="str">
        <f t="shared" si="17"/>
        <v>Sun</v>
      </c>
    </row>
    <row r="541" spans="1:6" x14ac:dyDescent="0.3">
      <c r="A541" s="1">
        <v>45922</v>
      </c>
      <c r="B541" t="s">
        <v>15</v>
      </c>
      <c r="C541">
        <v>33</v>
      </c>
      <c r="D541">
        <v>716000</v>
      </c>
      <c r="E541" t="str">
        <f t="shared" si="16"/>
        <v>2025-09</v>
      </c>
      <c r="F541" t="str">
        <f t="shared" si="17"/>
        <v>Mon</v>
      </c>
    </row>
    <row r="542" spans="1:6" x14ac:dyDescent="0.3">
      <c r="A542" s="1">
        <v>45923</v>
      </c>
      <c r="B542" t="s">
        <v>15</v>
      </c>
      <c r="C542">
        <v>33</v>
      </c>
      <c r="D542">
        <v>718000</v>
      </c>
      <c r="E542" t="str">
        <f t="shared" si="16"/>
        <v>2025-09</v>
      </c>
      <c r="F542" t="str">
        <f t="shared" si="17"/>
        <v>Tue</v>
      </c>
    </row>
    <row r="543" spans="1:6" x14ac:dyDescent="0.3">
      <c r="A543" s="1">
        <v>45924</v>
      </c>
      <c r="B543" t="s">
        <v>15</v>
      </c>
      <c r="C543">
        <v>29</v>
      </c>
      <c r="D543">
        <v>656000</v>
      </c>
      <c r="E543" t="str">
        <f t="shared" si="16"/>
        <v>2025-09</v>
      </c>
      <c r="F543" t="str">
        <f t="shared" si="17"/>
        <v>Wed</v>
      </c>
    </row>
    <row r="544" spans="1:6" x14ac:dyDescent="0.3">
      <c r="A544" s="1">
        <v>45925</v>
      </c>
      <c r="B544" t="s">
        <v>15</v>
      </c>
      <c r="C544">
        <v>35</v>
      </c>
      <c r="D544">
        <v>626000</v>
      </c>
      <c r="E544" t="str">
        <f t="shared" si="16"/>
        <v>2025-09</v>
      </c>
      <c r="F544" t="str">
        <f t="shared" si="17"/>
        <v>Thu</v>
      </c>
    </row>
    <row r="545" spans="1:6" x14ac:dyDescent="0.3">
      <c r="A545" s="1">
        <v>45926</v>
      </c>
      <c r="B545" t="s">
        <v>15</v>
      </c>
      <c r="C545">
        <v>28</v>
      </c>
      <c r="D545">
        <v>670000</v>
      </c>
      <c r="E545" t="str">
        <f t="shared" si="16"/>
        <v>2025-09</v>
      </c>
      <c r="F545" t="str">
        <f t="shared" si="17"/>
        <v>Fri</v>
      </c>
    </row>
    <row r="546" spans="1:6" x14ac:dyDescent="0.3">
      <c r="A546" s="1">
        <v>45927</v>
      </c>
      <c r="B546" t="s">
        <v>15</v>
      </c>
      <c r="C546">
        <v>42</v>
      </c>
      <c r="D546">
        <v>840000</v>
      </c>
      <c r="E546" t="str">
        <f t="shared" si="16"/>
        <v>2025-09</v>
      </c>
      <c r="F546" t="str">
        <f t="shared" si="17"/>
        <v>Sat</v>
      </c>
    </row>
    <row r="547" spans="1:6" x14ac:dyDescent="0.3">
      <c r="A547" s="1">
        <v>45928</v>
      </c>
      <c r="B547" t="s">
        <v>15</v>
      </c>
      <c r="C547">
        <v>37</v>
      </c>
      <c r="D547">
        <v>863000</v>
      </c>
      <c r="E547" t="str">
        <f t="shared" si="16"/>
        <v>2025-09</v>
      </c>
      <c r="F547" t="str">
        <f t="shared" si="17"/>
        <v>Sun</v>
      </c>
    </row>
    <row r="548" spans="1:6" x14ac:dyDescent="0.3">
      <c r="A548" s="1">
        <v>45929</v>
      </c>
      <c r="B548" t="s">
        <v>15</v>
      </c>
      <c r="C548">
        <v>25</v>
      </c>
      <c r="D548">
        <v>533000</v>
      </c>
      <c r="E548" t="str">
        <f t="shared" si="16"/>
        <v>2025-09</v>
      </c>
      <c r="F548" t="str">
        <f t="shared" si="17"/>
        <v>Mon</v>
      </c>
    </row>
    <row r="549" spans="1:6" x14ac:dyDescent="0.3">
      <c r="A549" s="1">
        <v>45930</v>
      </c>
      <c r="B549" t="s">
        <v>15</v>
      </c>
      <c r="C549">
        <v>33</v>
      </c>
      <c r="D549">
        <v>674000</v>
      </c>
      <c r="E549" t="str">
        <f t="shared" si="16"/>
        <v>2025-09</v>
      </c>
      <c r="F549" t="str">
        <f t="shared" si="17"/>
        <v>Tue</v>
      </c>
    </row>
    <row r="550" spans="1:6" x14ac:dyDescent="0.3">
      <c r="A550" s="1">
        <v>45931</v>
      </c>
      <c r="B550" t="s">
        <v>15</v>
      </c>
      <c r="C550">
        <v>29</v>
      </c>
      <c r="D550">
        <v>600000</v>
      </c>
      <c r="E550" t="str">
        <f t="shared" si="16"/>
        <v>2025-10</v>
      </c>
      <c r="F550" t="str">
        <f t="shared" si="17"/>
        <v>Wed</v>
      </c>
    </row>
    <row r="551" spans="1:6" x14ac:dyDescent="0.3">
      <c r="A551" s="1">
        <v>45932</v>
      </c>
      <c r="B551" t="s">
        <v>15</v>
      </c>
      <c r="C551">
        <v>28</v>
      </c>
      <c r="D551">
        <v>632000</v>
      </c>
      <c r="E551" t="str">
        <f t="shared" si="16"/>
        <v>2025-10</v>
      </c>
      <c r="F551" t="str">
        <f t="shared" si="17"/>
        <v>Thu</v>
      </c>
    </row>
    <row r="552" spans="1:6" x14ac:dyDescent="0.3">
      <c r="A552" s="1">
        <v>45933</v>
      </c>
      <c r="B552" t="s">
        <v>15</v>
      </c>
      <c r="C552">
        <v>35</v>
      </c>
      <c r="D552">
        <v>666000</v>
      </c>
      <c r="E552" t="str">
        <f t="shared" si="16"/>
        <v>2025-10</v>
      </c>
      <c r="F552" t="str">
        <f t="shared" si="17"/>
        <v>Fri</v>
      </c>
    </row>
    <row r="553" spans="1:6" x14ac:dyDescent="0.3">
      <c r="A553" s="1">
        <v>45934</v>
      </c>
      <c r="B553" t="s">
        <v>15</v>
      </c>
      <c r="C553">
        <v>47</v>
      </c>
      <c r="D553">
        <v>945000</v>
      </c>
      <c r="E553" t="str">
        <f t="shared" si="16"/>
        <v>2025-10</v>
      </c>
      <c r="F553" t="str">
        <f t="shared" si="17"/>
        <v>Sat</v>
      </c>
    </row>
    <row r="554" spans="1:6" x14ac:dyDescent="0.3">
      <c r="A554" s="1">
        <v>45935</v>
      </c>
      <c r="B554" t="s">
        <v>15</v>
      </c>
      <c r="C554">
        <v>54</v>
      </c>
      <c r="D554">
        <v>1089000</v>
      </c>
      <c r="E554" t="str">
        <f t="shared" si="16"/>
        <v>2025-10</v>
      </c>
      <c r="F554" t="str">
        <f t="shared" si="17"/>
        <v>Sun</v>
      </c>
    </row>
    <row r="555" spans="1:6" x14ac:dyDescent="0.3">
      <c r="A555" s="1">
        <v>45936</v>
      </c>
      <c r="B555" t="s">
        <v>15</v>
      </c>
      <c r="C555">
        <v>39</v>
      </c>
      <c r="D555">
        <v>684000</v>
      </c>
      <c r="E555" t="str">
        <f t="shared" si="16"/>
        <v>2025-10</v>
      </c>
      <c r="F555" t="str">
        <f t="shared" si="17"/>
        <v>Mon</v>
      </c>
    </row>
    <row r="556" spans="1:6" x14ac:dyDescent="0.3">
      <c r="A556" s="1">
        <v>45937</v>
      </c>
      <c r="B556" t="s">
        <v>15</v>
      </c>
      <c r="C556">
        <v>24</v>
      </c>
      <c r="D556">
        <v>575000</v>
      </c>
      <c r="E556" t="str">
        <f t="shared" si="16"/>
        <v>2025-10</v>
      </c>
      <c r="F556" t="str">
        <f t="shared" si="17"/>
        <v>Tue</v>
      </c>
    </row>
    <row r="557" spans="1:6" x14ac:dyDescent="0.3">
      <c r="A557" s="1">
        <v>45938</v>
      </c>
      <c r="B557" t="s">
        <v>15</v>
      </c>
      <c r="C557">
        <v>31</v>
      </c>
      <c r="D557">
        <v>679000</v>
      </c>
      <c r="E557" t="str">
        <f t="shared" si="16"/>
        <v>2025-10</v>
      </c>
      <c r="F557" t="str">
        <f t="shared" si="17"/>
        <v>Wed</v>
      </c>
    </row>
    <row r="558" spans="1:6" x14ac:dyDescent="0.3">
      <c r="A558" s="1">
        <v>45939</v>
      </c>
      <c r="B558" t="s">
        <v>15</v>
      </c>
      <c r="C558">
        <v>30</v>
      </c>
      <c r="D558">
        <v>631000</v>
      </c>
      <c r="E558" t="str">
        <f t="shared" si="16"/>
        <v>2025-10</v>
      </c>
      <c r="F558" t="str">
        <f t="shared" si="17"/>
        <v>Thu</v>
      </c>
    </row>
    <row r="559" spans="1:6" x14ac:dyDescent="0.3">
      <c r="A559" s="1">
        <v>45940</v>
      </c>
      <c r="B559" t="s">
        <v>15</v>
      </c>
      <c r="C559">
        <v>30</v>
      </c>
      <c r="D559">
        <v>698000</v>
      </c>
      <c r="E559" t="str">
        <f t="shared" si="16"/>
        <v>2025-10</v>
      </c>
      <c r="F559" t="str">
        <f t="shared" si="17"/>
        <v>Fri</v>
      </c>
    </row>
    <row r="560" spans="1:6" x14ac:dyDescent="0.3">
      <c r="A560" s="1">
        <v>45941</v>
      </c>
      <c r="B560" t="s">
        <v>15</v>
      </c>
      <c r="C560">
        <v>45</v>
      </c>
      <c r="D560">
        <v>855000</v>
      </c>
      <c r="E560" t="str">
        <f t="shared" si="16"/>
        <v>2025-10</v>
      </c>
      <c r="F560" t="str">
        <f t="shared" si="17"/>
        <v>Sat</v>
      </c>
    </row>
    <row r="561" spans="1:6" x14ac:dyDescent="0.3">
      <c r="A561" s="1">
        <v>45942</v>
      </c>
      <c r="B561" t="s">
        <v>15</v>
      </c>
      <c r="C561">
        <v>41</v>
      </c>
      <c r="D561">
        <v>854000</v>
      </c>
      <c r="E561" t="str">
        <f t="shared" si="16"/>
        <v>2025-10</v>
      </c>
      <c r="F561" t="str">
        <f t="shared" si="17"/>
        <v>Sun</v>
      </c>
    </row>
    <row r="562" spans="1:6" x14ac:dyDescent="0.3">
      <c r="A562" s="1">
        <v>45943</v>
      </c>
      <c r="B562" t="s">
        <v>15</v>
      </c>
      <c r="C562">
        <v>26</v>
      </c>
      <c r="D562">
        <v>637000</v>
      </c>
      <c r="E562" t="str">
        <f t="shared" si="16"/>
        <v>2025-10</v>
      </c>
      <c r="F562" t="str">
        <f t="shared" si="17"/>
        <v>Mon</v>
      </c>
    </row>
    <row r="563" spans="1:6" x14ac:dyDescent="0.3">
      <c r="A563" s="1">
        <v>45944</v>
      </c>
      <c r="B563" t="s">
        <v>15</v>
      </c>
      <c r="C563">
        <v>27</v>
      </c>
      <c r="D563">
        <v>630000</v>
      </c>
      <c r="E563" t="str">
        <f t="shared" si="16"/>
        <v>2025-10</v>
      </c>
      <c r="F563" t="str">
        <f t="shared" si="17"/>
        <v>Tue</v>
      </c>
    </row>
    <row r="564" spans="1:6" x14ac:dyDescent="0.3">
      <c r="A564" s="1">
        <v>45945</v>
      </c>
      <c r="B564" t="s">
        <v>15</v>
      </c>
      <c r="C564">
        <v>33</v>
      </c>
      <c r="D564">
        <v>549000</v>
      </c>
      <c r="E564" t="str">
        <f t="shared" si="16"/>
        <v>2025-10</v>
      </c>
      <c r="F564" t="str">
        <f t="shared" si="17"/>
        <v>Wed</v>
      </c>
    </row>
    <row r="565" spans="1:6" x14ac:dyDescent="0.3">
      <c r="A565" s="1">
        <v>45946</v>
      </c>
      <c r="B565" t="s">
        <v>15</v>
      </c>
      <c r="C565">
        <v>44</v>
      </c>
      <c r="D565">
        <v>627000</v>
      </c>
      <c r="E565" t="str">
        <f t="shared" si="16"/>
        <v>2025-10</v>
      </c>
      <c r="F565" t="str">
        <f t="shared" si="17"/>
        <v>Thu</v>
      </c>
    </row>
    <row r="566" spans="1:6" x14ac:dyDescent="0.3">
      <c r="A566" s="1">
        <v>45947</v>
      </c>
      <c r="B566" t="s">
        <v>15</v>
      </c>
      <c r="C566">
        <v>35</v>
      </c>
      <c r="D566">
        <v>672000</v>
      </c>
      <c r="E566" t="str">
        <f t="shared" si="16"/>
        <v>2025-10</v>
      </c>
      <c r="F566" t="str">
        <f t="shared" si="17"/>
        <v>Fri</v>
      </c>
    </row>
    <row r="567" spans="1:6" x14ac:dyDescent="0.3">
      <c r="A567" s="1">
        <v>45948</v>
      </c>
      <c r="B567" t="s">
        <v>15</v>
      </c>
      <c r="C567">
        <v>45</v>
      </c>
      <c r="D567">
        <v>1031000</v>
      </c>
      <c r="E567" t="str">
        <f t="shared" si="16"/>
        <v>2025-10</v>
      </c>
      <c r="F567" t="str">
        <f t="shared" si="17"/>
        <v>Sat</v>
      </c>
    </row>
    <row r="568" spans="1:6" x14ac:dyDescent="0.3">
      <c r="A568" s="1">
        <v>45949</v>
      </c>
      <c r="B568" t="s">
        <v>15</v>
      </c>
      <c r="C568">
        <v>45</v>
      </c>
      <c r="D568">
        <v>894000</v>
      </c>
      <c r="E568" t="str">
        <f t="shared" si="16"/>
        <v>2025-10</v>
      </c>
      <c r="F568" t="str">
        <f t="shared" si="17"/>
        <v>Sun</v>
      </c>
    </row>
    <row r="569" spans="1:6" x14ac:dyDescent="0.3">
      <c r="A569" s="1">
        <v>45950</v>
      </c>
      <c r="B569" t="s">
        <v>15</v>
      </c>
      <c r="C569">
        <v>32</v>
      </c>
      <c r="D569">
        <v>648000</v>
      </c>
      <c r="E569" t="str">
        <f t="shared" si="16"/>
        <v>2025-10</v>
      </c>
      <c r="F569" t="str">
        <f t="shared" si="17"/>
        <v>Mon</v>
      </c>
    </row>
    <row r="570" spans="1:6" x14ac:dyDescent="0.3">
      <c r="A570" s="1">
        <v>45951</v>
      </c>
      <c r="B570" t="s">
        <v>15</v>
      </c>
      <c r="C570">
        <v>32</v>
      </c>
      <c r="D570">
        <v>713000</v>
      </c>
      <c r="E570" t="str">
        <f t="shared" si="16"/>
        <v>2025-10</v>
      </c>
      <c r="F570" t="str">
        <f t="shared" si="17"/>
        <v>Tue</v>
      </c>
    </row>
    <row r="571" spans="1:6" x14ac:dyDescent="0.3">
      <c r="A571" s="1">
        <v>45952</v>
      </c>
      <c r="B571" t="s">
        <v>15</v>
      </c>
      <c r="C571">
        <v>37</v>
      </c>
      <c r="D571">
        <v>710000</v>
      </c>
      <c r="E571" t="str">
        <f t="shared" si="16"/>
        <v>2025-10</v>
      </c>
      <c r="F571" t="str">
        <f t="shared" si="17"/>
        <v>Wed</v>
      </c>
    </row>
    <row r="572" spans="1:6" x14ac:dyDescent="0.3">
      <c r="A572" s="1">
        <v>45953</v>
      </c>
      <c r="B572" t="s">
        <v>15</v>
      </c>
      <c r="C572">
        <v>36</v>
      </c>
      <c r="D572">
        <v>782000</v>
      </c>
      <c r="E572" t="str">
        <f t="shared" si="16"/>
        <v>2025-10</v>
      </c>
      <c r="F572" t="str">
        <f t="shared" si="17"/>
        <v>Thu</v>
      </c>
    </row>
    <row r="573" spans="1:6" x14ac:dyDescent="0.3">
      <c r="A573" s="1">
        <v>45954</v>
      </c>
      <c r="B573" t="s">
        <v>15</v>
      </c>
      <c r="C573">
        <v>32</v>
      </c>
      <c r="D573">
        <v>714000</v>
      </c>
      <c r="E573" t="str">
        <f t="shared" si="16"/>
        <v>2025-10</v>
      </c>
      <c r="F573" t="str">
        <f t="shared" si="17"/>
        <v>Fri</v>
      </c>
    </row>
    <row r="574" spans="1:6" x14ac:dyDescent="0.3">
      <c r="A574" s="1">
        <v>45955</v>
      </c>
      <c r="B574" t="s">
        <v>15</v>
      </c>
      <c r="C574">
        <v>42</v>
      </c>
      <c r="D574">
        <v>921000</v>
      </c>
      <c r="E574" t="str">
        <f t="shared" si="16"/>
        <v>2025-10</v>
      </c>
      <c r="F574" t="str">
        <f t="shared" si="17"/>
        <v>Sat</v>
      </c>
    </row>
    <row r="575" spans="1:6" x14ac:dyDescent="0.3">
      <c r="A575" s="1">
        <v>45956</v>
      </c>
      <c r="B575" t="s">
        <v>15</v>
      </c>
      <c r="C575">
        <v>48</v>
      </c>
      <c r="D575">
        <v>1047000</v>
      </c>
      <c r="E575" t="str">
        <f t="shared" si="16"/>
        <v>2025-10</v>
      </c>
      <c r="F575" t="str">
        <f t="shared" si="17"/>
        <v>Sun</v>
      </c>
    </row>
    <row r="576" spans="1:6" x14ac:dyDescent="0.3">
      <c r="A576" s="1">
        <v>45957</v>
      </c>
      <c r="B576" t="s">
        <v>15</v>
      </c>
      <c r="C576">
        <v>39</v>
      </c>
      <c r="D576">
        <v>778000</v>
      </c>
      <c r="E576" t="str">
        <f t="shared" si="16"/>
        <v>2025-10</v>
      </c>
      <c r="F576" t="str">
        <f t="shared" si="17"/>
        <v>Mon</v>
      </c>
    </row>
    <row r="577" spans="1:6" x14ac:dyDescent="0.3">
      <c r="A577" s="1">
        <v>45958</v>
      </c>
      <c r="B577" t="s">
        <v>15</v>
      </c>
      <c r="C577">
        <v>29</v>
      </c>
      <c r="D577">
        <v>643000</v>
      </c>
      <c r="E577" t="str">
        <f t="shared" si="16"/>
        <v>2025-10</v>
      </c>
      <c r="F577" t="str">
        <f t="shared" si="17"/>
        <v>Tue</v>
      </c>
    </row>
    <row r="578" spans="1:6" x14ac:dyDescent="0.3">
      <c r="A578" s="1">
        <v>45959</v>
      </c>
      <c r="B578" t="s">
        <v>15</v>
      </c>
      <c r="C578">
        <v>34</v>
      </c>
      <c r="D578">
        <v>686000</v>
      </c>
      <c r="E578" t="str">
        <f t="shared" ref="E578:E641" si="18">TEXT(A578,"yyyy-mm")</f>
        <v>2025-10</v>
      </c>
      <c r="F578" t="str">
        <f t="shared" ref="F578:F641" si="19">TEXT(A578,"ddd")</f>
        <v>Wed</v>
      </c>
    </row>
    <row r="579" spans="1:6" x14ac:dyDescent="0.3">
      <c r="A579" s="1">
        <v>45960</v>
      </c>
      <c r="B579" t="s">
        <v>15</v>
      </c>
      <c r="C579">
        <v>24</v>
      </c>
      <c r="D579">
        <v>562000</v>
      </c>
      <c r="E579" t="str">
        <f t="shared" si="18"/>
        <v>2025-10</v>
      </c>
      <c r="F579" t="str">
        <f t="shared" si="19"/>
        <v>Thu</v>
      </c>
    </row>
    <row r="580" spans="1:6" x14ac:dyDescent="0.3">
      <c r="A580" s="1">
        <v>45961</v>
      </c>
      <c r="B580" t="s">
        <v>15</v>
      </c>
      <c r="C580">
        <v>25</v>
      </c>
      <c r="D580">
        <v>652000</v>
      </c>
      <c r="E580" t="str">
        <f t="shared" si="18"/>
        <v>2025-10</v>
      </c>
      <c r="F580" t="str">
        <f t="shared" si="19"/>
        <v>Fri</v>
      </c>
    </row>
    <row r="581" spans="1:6" x14ac:dyDescent="0.3">
      <c r="A581" s="1">
        <v>45962</v>
      </c>
      <c r="B581" t="s">
        <v>15</v>
      </c>
      <c r="C581">
        <v>43</v>
      </c>
      <c r="D581">
        <v>844000</v>
      </c>
      <c r="E581" t="str">
        <f t="shared" si="18"/>
        <v>2025-11</v>
      </c>
      <c r="F581" t="str">
        <f t="shared" si="19"/>
        <v>Sat</v>
      </c>
    </row>
    <row r="582" spans="1:6" x14ac:dyDescent="0.3">
      <c r="A582" s="1">
        <v>45963</v>
      </c>
      <c r="B582" t="s">
        <v>15</v>
      </c>
      <c r="C582">
        <v>54</v>
      </c>
      <c r="D582">
        <v>906000</v>
      </c>
      <c r="E582" t="str">
        <f t="shared" si="18"/>
        <v>2025-11</v>
      </c>
      <c r="F582" t="str">
        <f t="shared" si="19"/>
        <v>Sun</v>
      </c>
    </row>
    <row r="583" spans="1:6" x14ac:dyDescent="0.3">
      <c r="A583" s="1">
        <v>45964</v>
      </c>
      <c r="B583" t="s">
        <v>15</v>
      </c>
      <c r="C583">
        <v>32</v>
      </c>
      <c r="D583">
        <v>644000</v>
      </c>
      <c r="E583" t="str">
        <f t="shared" si="18"/>
        <v>2025-11</v>
      </c>
      <c r="F583" t="str">
        <f t="shared" si="19"/>
        <v>Mon</v>
      </c>
    </row>
    <row r="584" spans="1:6" x14ac:dyDescent="0.3">
      <c r="A584" s="1">
        <v>45965</v>
      </c>
      <c r="B584" t="s">
        <v>15</v>
      </c>
      <c r="C584">
        <v>31</v>
      </c>
      <c r="D584">
        <v>666000</v>
      </c>
      <c r="E584" t="str">
        <f t="shared" si="18"/>
        <v>2025-11</v>
      </c>
      <c r="F584" t="str">
        <f t="shared" si="19"/>
        <v>Tue</v>
      </c>
    </row>
    <row r="585" spans="1:6" x14ac:dyDescent="0.3">
      <c r="A585" s="1">
        <v>45966</v>
      </c>
      <c r="B585" t="s">
        <v>15</v>
      </c>
      <c r="C585">
        <v>29</v>
      </c>
      <c r="D585">
        <v>670000</v>
      </c>
      <c r="E585" t="str">
        <f t="shared" si="18"/>
        <v>2025-11</v>
      </c>
      <c r="F585" t="str">
        <f t="shared" si="19"/>
        <v>Wed</v>
      </c>
    </row>
    <row r="586" spans="1:6" x14ac:dyDescent="0.3">
      <c r="A586" s="1">
        <v>45967</v>
      </c>
      <c r="B586" t="s">
        <v>15</v>
      </c>
      <c r="C586">
        <v>31</v>
      </c>
      <c r="D586">
        <v>711000</v>
      </c>
      <c r="E586" t="str">
        <f t="shared" si="18"/>
        <v>2025-11</v>
      </c>
      <c r="F586" t="str">
        <f t="shared" si="19"/>
        <v>Thu</v>
      </c>
    </row>
    <row r="587" spans="1:6" x14ac:dyDescent="0.3">
      <c r="A587" s="1">
        <v>45968</v>
      </c>
      <c r="B587" t="s">
        <v>15</v>
      </c>
      <c r="C587">
        <v>36</v>
      </c>
      <c r="D587">
        <v>694000</v>
      </c>
      <c r="E587" t="str">
        <f t="shared" si="18"/>
        <v>2025-11</v>
      </c>
      <c r="F587" t="str">
        <f t="shared" si="19"/>
        <v>Fri</v>
      </c>
    </row>
    <row r="588" spans="1:6" x14ac:dyDescent="0.3">
      <c r="A588" s="1">
        <v>45969</v>
      </c>
      <c r="B588" t="s">
        <v>15</v>
      </c>
      <c r="C588">
        <v>45</v>
      </c>
      <c r="D588">
        <v>876000</v>
      </c>
      <c r="E588" t="str">
        <f t="shared" si="18"/>
        <v>2025-11</v>
      </c>
      <c r="F588" t="str">
        <f t="shared" si="19"/>
        <v>Sat</v>
      </c>
    </row>
    <row r="589" spans="1:6" x14ac:dyDescent="0.3">
      <c r="A589" s="1">
        <v>45970</v>
      </c>
      <c r="B589" t="s">
        <v>15</v>
      </c>
      <c r="C589">
        <v>34</v>
      </c>
      <c r="D589">
        <v>809000</v>
      </c>
      <c r="E589" t="str">
        <f t="shared" si="18"/>
        <v>2025-11</v>
      </c>
      <c r="F589" t="str">
        <f t="shared" si="19"/>
        <v>Sun</v>
      </c>
    </row>
    <row r="590" spans="1:6" x14ac:dyDescent="0.3">
      <c r="A590" s="1">
        <v>45971</v>
      </c>
      <c r="B590" t="s">
        <v>15</v>
      </c>
      <c r="C590">
        <v>41</v>
      </c>
      <c r="D590">
        <v>762000</v>
      </c>
      <c r="E590" t="str">
        <f t="shared" si="18"/>
        <v>2025-11</v>
      </c>
      <c r="F590" t="str">
        <f t="shared" si="19"/>
        <v>Mon</v>
      </c>
    </row>
    <row r="591" spans="1:6" x14ac:dyDescent="0.3">
      <c r="A591" s="1">
        <v>45972</v>
      </c>
      <c r="B591" t="s">
        <v>15</v>
      </c>
      <c r="C591">
        <v>33</v>
      </c>
      <c r="D591">
        <v>775000</v>
      </c>
      <c r="E591" t="str">
        <f t="shared" si="18"/>
        <v>2025-11</v>
      </c>
      <c r="F591" t="str">
        <f t="shared" si="19"/>
        <v>Tue</v>
      </c>
    </row>
    <row r="592" spans="1:6" x14ac:dyDescent="0.3">
      <c r="A592" s="1">
        <v>45973</v>
      </c>
      <c r="B592" t="s">
        <v>15</v>
      </c>
      <c r="C592">
        <v>32</v>
      </c>
      <c r="D592">
        <v>648000</v>
      </c>
      <c r="E592" t="str">
        <f t="shared" si="18"/>
        <v>2025-11</v>
      </c>
      <c r="F592" t="str">
        <f t="shared" si="19"/>
        <v>Wed</v>
      </c>
    </row>
    <row r="593" spans="1:6" x14ac:dyDescent="0.3">
      <c r="A593" s="1">
        <v>45974</v>
      </c>
      <c r="B593" t="s">
        <v>15</v>
      </c>
      <c r="C593">
        <v>32</v>
      </c>
      <c r="D593">
        <v>718000</v>
      </c>
      <c r="E593" t="str">
        <f t="shared" si="18"/>
        <v>2025-11</v>
      </c>
      <c r="F593" t="str">
        <f t="shared" si="19"/>
        <v>Thu</v>
      </c>
    </row>
    <row r="594" spans="1:6" x14ac:dyDescent="0.3">
      <c r="A594" s="1">
        <v>45975</v>
      </c>
      <c r="B594" t="s">
        <v>15</v>
      </c>
      <c r="C594">
        <v>26</v>
      </c>
      <c r="D594">
        <v>576000</v>
      </c>
      <c r="E594" t="str">
        <f t="shared" si="18"/>
        <v>2025-11</v>
      </c>
      <c r="F594" t="str">
        <f t="shared" si="19"/>
        <v>Fri</v>
      </c>
    </row>
    <row r="595" spans="1:6" x14ac:dyDescent="0.3">
      <c r="A595" s="1">
        <v>45976</v>
      </c>
      <c r="B595" t="s">
        <v>15</v>
      </c>
      <c r="C595">
        <v>35</v>
      </c>
      <c r="D595">
        <v>785000</v>
      </c>
      <c r="E595" t="str">
        <f t="shared" si="18"/>
        <v>2025-11</v>
      </c>
      <c r="F595" t="str">
        <f t="shared" si="19"/>
        <v>Sat</v>
      </c>
    </row>
    <row r="596" spans="1:6" x14ac:dyDescent="0.3">
      <c r="A596" s="1">
        <v>45977</v>
      </c>
      <c r="B596" t="s">
        <v>15</v>
      </c>
      <c r="C596">
        <v>40</v>
      </c>
      <c r="D596">
        <v>906000</v>
      </c>
      <c r="E596" t="str">
        <f t="shared" si="18"/>
        <v>2025-11</v>
      </c>
      <c r="F596" t="str">
        <f t="shared" si="19"/>
        <v>Sun</v>
      </c>
    </row>
    <row r="597" spans="1:6" x14ac:dyDescent="0.3">
      <c r="A597" s="1">
        <v>45978</v>
      </c>
      <c r="B597" t="s">
        <v>15</v>
      </c>
      <c r="C597">
        <v>41</v>
      </c>
      <c r="D597">
        <v>781000</v>
      </c>
      <c r="E597" t="str">
        <f t="shared" si="18"/>
        <v>2025-11</v>
      </c>
      <c r="F597" t="str">
        <f t="shared" si="19"/>
        <v>Mon</v>
      </c>
    </row>
    <row r="598" spans="1:6" x14ac:dyDescent="0.3">
      <c r="A598" s="1">
        <v>45979</v>
      </c>
      <c r="B598" t="s">
        <v>15</v>
      </c>
      <c r="C598">
        <v>28</v>
      </c>
      <c r="D598">
        <v>609000</v>
      </c>
      <c r="E598" t="str">
        <f t="shared" si="18"/>
        <v>2025-11</v>
      </c>
      <c r="F598" t="str">
        <f t="shared" si="19"/>
        <v>Tue</v>
      </c>
    </row>
    <row r="599" spans="1:6" x14ac:dyDescent="0.3">
      <c r="A599" s="1">
        <v>45980</v>
      </c>
      <c r="B599" t="s">
        <v>15</v>
      </c>
      <c r="C599">
        <v>30</v>
      </c>
      <c r="D599">
        <v>624000</v>
      </c>
      <c r="E599" t="str">
        <f t="shared" si="18"/>
        <v>2025-11</v>
      </c>
      <c r="F599" t="str">
        <f t="shared" si="19"/>
        <v>Wed</v>
      </c>
    </row>
    <row r="600" spans="1:6" x14ac:dyDescent="0.3">
      <c r="A600" s="1">
        <v>45981</v>
      </c>
      <c r="B600" t="s">
        <v>15</v>
      </c>
      <c r="C600">
        <v>37</v>
      </c>
      <c r="D600">
        <v>791000</v>
      </c>
      <c r="E600" t="str">
        <f t="shared" si="18"/>
        <v>2025-11</v>
      </c>
      <c r="F600" t="str">
        <f t="shared" si="19"/>
        <v>Thu</v>
      </c>
    </row>
    <row r="601" spans="1:6" x14ac:dyDescent="0.3">
      <c r="A601" s="1">
        <v>45982</v>
      </c>
      <c r="B601" t="s">
        <v>15</v>
      </c>
      <c r="C601">
        <v>24</v>
      </c>
      <c r="D601">
        <v>552000</v>
      </c>
      <c r="E601" t="str">
        <f t="shared" si="18"/>
        <v>2025-11</v>
      </c>
      <c r="F601" t="str">
        <f t="shared" si="19"/>
        <v>Fri</v>
      </c>
    </row>
    <row r="602" spans="1:6" x14ac:dyDescent="0.3">
      <c r="A602" s="1">
        <v>45983</v>
      </c>
      <c r="B602" t="s">
        <v>15</v>
      </c>
      <c r="C602">
        <v>49</v>
      </c>
      <c r="D602">
        <v>993000</v>
      </c>
      <c r="E602" t="str">
        <f t="shared" si="18"/>
        <v>2025-11</v>
      </c>
      <c r="F602" t="str">
        <f t="shared" si="19"/>
        <v>Sat</v>
      </c>
    </row>
    <row r="603" spans="1:6" x14ac:dyDescent="0.3">
      <c r="A603" s="1">
        <v>45984</v>
      </c>
      <c r="B603" t="s">
        <v>15</v>
      </c>
      <c r="C603">
        <v>50</v>
      </c>
      <c r="D603">
        <v>979000</v>
      </c>
      <c r="E603" t="str">
        <f t="shared" si="18"/>
        <v>2025-11</v>
      </c>
      <c r="F603" t="str">
        <f t="shared" si="19"/>
        <v>Sun</v>
      </c>
    </row>
    <row r="604" spans="1:6" x14ac:dyDescent="0.3">
      <c r="A604" s="1">
        <v>45985</v>
      </c>
      <c r="B604" t="s">
        <v>15</v>
      </c>
      <c r="C604">
        <v>34</v>
      </c>
      <c r="D604">
        <v>668000</v>
      </c>
      <c r="E604" t="str">
        <f t="shared" si="18"/>
        <v>2025-11</v>
      </c>
      <c r="F604" t="str">
        <f t="shared" si="19"/>
        <v>Mon</v>
      </c>
    </row>
    <row r="605" spans="1:6" x14ac:dyDescent="0.3">
      <c r="A605" s="1">
        <v>45986</v>
      </c>
      <c r="B605" t="s">
        <v>15</v>
      </c>
      <c r="C605">
        <v>34</v>
      </c>
      <c r="D605">
        <v>695000</v>
      </c>
      <c r="E605" t="str">
        <f t="shared" si="18"/>
        <v>2025-11</v>
      </c>
      <c r="F605" t="str">
        <f t="shared" si="19"/>
        <v>Tue</v>
      </c>
    </row>
    <row r="606" spans="1:6" x14ac:dyDescent="0.3">
      <c r="A606" s="1">
        <v>45987</v>
      </c>
      <c r="B606" t="s">
        <v>15</v>
      </c>
      <c r="C606">
        <v>38</v>
      </c>
      <c r="D606">
        <v>862000</v>
      </c>
      <c r="E606" t="str">
        <f t="shared" si="18"/>
        <v>2025-11</v>
      </c>
      <c r="F606" t="str">
        <f t="shared" si="19"/>
        <v>Wed</v>
      </c>
    </row>
    <row r="607" spans="1:6" x14ac:dyDescent="0.3">
      <c r="A607" s="1">
        <v>45988</v>
      </c>
      <c r="B607" t="s">
        <v>15</v>
      </c>
      <c r="C607">
        <v>31</v>
      </c>
      <c r="D607">
        <v>606000</v>
      </c>
      <c r="E607" t="str">
        <f t="shared" si="18"/>
        <v>2025-11</v>
      </c>
      <c r="F607" t="str">
        <f t="shared" si="19"/>
        <v>Thu</v>
      </c>
    </row>
    <row r="608" spans="1:6" x14ac:dyDescent="0.3">
      <c r="A608" s="1">
        <v>45989</v>
      </c>
      <c r="B608" t="s">
        <v>15</v>
      </c>
      <c r="C608">
        <v>28</v>
      </c>
      <c r="D608">
        <v>662000</v>
      </c>
      <c r="E608" t="str">
        <f t="shared" si="18"/>
        <v>2025-11</v>
      </c>
      <c r="F608" t="str">
        <f t="shared" si="19"/>
        <v>Fri</v>
      </c>
    </row>
    <row r="609" spans="1:6" x14ac:dyDescent="0.3">
      <c r="A609" s="1">
        <v>45990</v>
      </c>
      <c r="B609" t="s">
        <v>15</v>
      </c>
      <c r="C609">
        <v>42</v>
      </c>
      <c r="D609">
        <v>913000</v>
      </c>
      <c r="E609" t="str">
        <f t="shared" si="18"/>
        <v>2025-11</v>
      </c>
      <c r="F609" t="str">
        <f t="shared" si="19"/>
        <v>Sat</v>
      </c>
    </row>
    <row r="610" spans="1:6" x14ac:dyDescent="0.3">
      <c r="A610" s="1">
        <v>45991</v>
      </c>
      <c r="B610" t="s">
        <v>15</v>
      </c>
      <c r="C610">
        <v>42</v>
      </c>
      <c r="D610">
        <v>871000</v>
      </c>
      <c r="E610" t="str">
        <f t="shared" si="18"/>
        <v>2025-11</v>
      </c>
      <c r="F610" t="str">
        <f t="shared" si="19"/>
        <v>Sun</v>
      </c>
    </row>
    <row r="611" spans="1:6" x14ac:dyDescent="0.3">
      <c r="A611" s="1">
        <v>45992</v>
      </c>
      <c r="B611" t="s">
        <v>15</v>
      </c>
      <c r="C611">
        <v>32</v>
      </c>
      <c r="D611">
        <v>592000</v>
      </c>
      <c r="E611" t="str">
        <f t="shared" si="18"/>
        <v>2025-12</v>
      </c>
      <c r="F611" t="str">
        <f t="shared" si="19"/>
        <v>Mon</v>
      </c>
    </row>
    <row r="612" spans="1:6" x14ac:dyDescent="0.3">
      <c r="A612" s="1">
        <v>45993</v>
      </c>
      <c r="B612" t="s">
        <v>15</v>
      </c>
      <c r="C612">
        <v>37</v>
      </c>
      <c r="D612">
        <v>793000</v>
      </c>
      <c r="E612" t="str">
        <f t="shared" si="18"/>
        <v>2025-12</v>
      </c>
      <c r="F612" t="str">
        <f t="shared" si="19"/>
        <v>Tue</v>
      </c>
    </row>
    <row r="613" spans="1:6" x14ac:dyDescent="0.3">
      <c r="A613" s="1">
        <v>45994</v>
      </c>
      <c r="B613" t="s">
        <v>15</v>
      </c>
      <c r="C613">
        <v>31</v>
      </c>
      <c r="D613">
        <v>699000</v>
      </c>
      <c r="E613" t="str">
        <f t="shared" si="18"/>
        <v>2025-12</v>
      </c>
      <c r="F613" t="str">
        <f t="shared" si="19"/>
        <v>Wed</v>
      </c>
    </row>
    <row r="614" spans="1:6" x14ac:dyDescent="0.3">
      <c r="A614" s="1">
        <v>45995</v>
      </c>
      <c r="B614" t="s">
        <v>15</v>
      </c>
      <c r="C614">
        <v>32</v>
      </c>
      <c r="D614">
        <v>564000</v>
      </c>
      <c r="E614" t="str">
        <f t="shared" si="18"/>
        <v>2025-12</v>
      </c>
      <c r="F614" t="str">
        <f t="shared" si="19"/>
        <v>Thu</v>
      </c>
    </row>
    <row r="615" spans="1:6" x14ac:dyDescent="0.3">
      <c r="A615" s="1">
        <v>45996</v>
      </c>
      <c r="B615" t="s">
        <v>15</v>
      </c>
      <c r="C615">
        <v>27</v>
      </c>
      <c r="D615">
        <v>637000</v>
      </c>
      <c r="E615" t="str">
        <f t="shared" si="18"/>
        <v>2025-12</v>
      </c>
      <c r="F615" t="str">
        <f t="shared" si="19"/>
        <v>Fri</v>
      </c>
    </row>
    <row r="616" spans="1:6" x14ac:dyDescent="0.3">
      <c r="A616" s="1">
        <v>45997</v>
      </c>
      <c r="B616" t="s">
        <v>15</v>
      </c>
      <c r="C616">
        <v>40</v>
      </c>
      <c r="D616">
        <v>976000</v>
      </c>
      <c r="E616" t="str">
        <f t="shared" si="18"/>
        <v>2025-12</v>
      </c>
      <c r="F616" t="str">
        <f t="shared" si="19"/>
        <v>Sat</v>
      </c>
    </row>
    <row r="617" spans="1:6" x14ac:dyDescent="0.3">
      <c r="A617" s="1">
        <v>45998</v>
      </c>
      <c r="B617" t="s">
        <v>15</v>
      </c>
      <c r="C617">
        <v>45</v>
      </c>
      <c r="D617">
        <v>976000</v>
      </c>
      <c r="E617" t="str">
        <f t="shared" si="18"/>
        <v>2025-12</v>
      </c>
      <c r="F617" t="str">
        <f t="shared" si="19"/>
        <v>Sun</v>
      </c>
    </row>
    <row r="618" spans="1:6" x14ac:dyDescent="0.3">
      <c r="A618" s="1">
        <v>45999</v>
      </c>
      <c r="B618" t="s">
        <v>15</v>
      </c>
      <c r="C618">
        <v>27</v>
      </c>
      <c r="D618">
        <v>587000</v>
      </c>
      <c r="E618" t="str">
        <f t="shared" si="18"/>
        <v>2025-12</v>
      </c>
      <c r="F618" t="str">
        <f t="shared" si="19"/>
        <v>Mon</v>
      </c>
    </row>
    <row r="619" spans="1:6" x14ac:dyDescent="0.3">
      <c r="A619" s="1">
        <v>46000</v>
      </c>
      <c r="B619" t="s">
        <v>15</v>
      </c>
      <c r="C619">
        <v>26</v>
      </c>
      <c r="D619">
        <v>680000</v>
      </c>
      <c r="E619" t="str">
        <f t="shared" si="18"/>
        <v>2025-12</v>
      </c>
      <c r="F619" t="str">
        <f t="shared" si="19"/>
        <v>Tue</v>
      </c>
    </row>
    <row r="620" spans="1:6" x14ac:dyDescent="0.3">
      <c r="A620" s="1">
        <v>46001</v>
      </c>
      <c r="B620" t="s">
        <v>15</v>
      </c>
      <c r="C620">
        <v>30</v>
      </c>
      <c r="D620">
        <v>704000</v>
      </c>
      <c r="E620" t="str">
        <f t="shared" si="18"/>
        <v>2025-12</v>
      </c>
      <c r="F620" t="str">
        <f t="shared" si="19"/>
        <v>Wed</v>
      </c>
    </row>
    <row r="621" spans="1:6" x14ac:dyDescent="0.3">
      <c r="A621" s="1">
        <v>46002</v>
      </c>
      <c r="B621" t="s">
        <v>15</v>
      </c>
      <c r="C621">
        <v>37</v>
      </c>
      <c r="D621">
        <v>713000</v>
      </c>
      <c r="E621" t="str">
        <f t="shared" si="18"/>
        <v>2025-12</v>
      </c>
      <c r="F621" t="str">
        <f t="shared" si="19"/>
        <v>Thu</v>
      </c>
    </row>
    <row r="622" spans="1:6" x14ac:dyDescent="0.3">
      <c r="A622" s="1">
        <v>46003</v>
      </c>
      <c r="B622" t="s">
        <v>15</v>
      </c>
      <c r="C622">
        <v>34</v>
      </c>
      <c r="D622">
        <v>714000</v>
      </c>
      <c r="E622" t="str">
        <f t="shared" si="18"/>
        <v>2025-12</v>
      </c>
      <c r="F622" t="str">
        <f t="shared" si="19"/>
        <v>Fri</v>
      </c>
    </row>
    <row r="623" spans="1:6" x14ac:dyDescent="0.3">
      <c r="A623" s="1">
        <v>46004</v>
      </c>
      <c r="B623" t="s">
        <v>15</v>
      </c>
      <c r="C623">
        <v>37</v>
      </c>
      <c r="D623">
        <v>769000</v>
      </c>
      <c r="E623" t="str">
        <f t="shared" si="18"/>
        <v>2025-12</v>
      </c>
      <c r="F623" t="str">
        <f t="shared" si="19"/>
        <v>Sat</v>
      </c>
    </row>
    <row r="624" spans="1:6" x14ac:dyDescent="0.3">
      <c r="A624" s="1">
        <v>46005</v>
      </c>
      <c r="B624" t="s">
        <v>15</v>
      </c>
      <c r="C624">
        <v>54</v>
      </c>
      <c r="D624">
        <v>1114000</v>
      </c>
      <c r="E624" t="str">
        <f t="shared" si="18"/>
        <v>2025-12</v>
      </c>
      <c r="F624" t="str">
        <f t="shared" si="19"/>
        <v>Sun</v>
      </c>
    </row>
    <row r="625" spans="1:6" x14ac:dyDescent="0.3">
      <c r="A625" s="1">
        <v>46006</v>
      </c>
      <c r="B625" t="s">
        <v>15</v>
      </c>
      <c r="C625">
        <v>43</v>
      </c>
      <c r="D625">
        <v>702000</v>
      </c>
      <c r="E625" t="str">
        <f t="shared" si="18"/>
        <v>2025-12</v>
      </c>
      <c r="F625" t="str">
        <f t="shared" si="19"/>
        <v>Mon</v>
      </c>
    </row>
    <row r="626" spans="1:6" x14ac:dyDescent="0.3">
      <c r="A626" s="1">
        <v>46007</v>
      </c>
      <c r="B626" t="s">
        <v>15</v>
      </c>
      <c r="C626">
        <v>36</v>
      </c>
      <c r="D626">
        <v>812000</v>
      </c>
      <c r="E626" t="str">
        <f t="shared" si="18"/>
        <v>2025-12</v>
      </c>
      <c r="F626" t="str">
        <f t="shared" si="19"/>
        <v>Tue</v>
      </c>
    </row>
    <row r="627" spans="1:6" x14ac:dyDescent="0.3">
      <c r="A627" s="1">
        <v>46008</v>
      </c>
      <c r="B627" t="s">
        <v>15</v>
      </c>
      <c r="C627">
        <v>45</v>
      </c>
      <c r="D627">
        <v>885000</v>
      </c>
      <c r="E627" t="str">
        <f t="shared" si="18"/>
        <v>2025-12</v>
      </c>
      <c r="F627" t="str">
        <f t="shared" si="19"/>
        <v>Wed</v>
      </c>
    </row>
    <row r="628" spans="1:6" x14ac:dyDescent="0.3">
      <c r="A628" s="1">
        <v>46009</v>
      </c>
      <c r="B628" t="s">
        <v>15</v>
      </c>
      <c r="C628">
        <v>32</v>
      </c>
      <c r="D628">
        <v>677000</v>
      </c>
      <c r="E628" t="str">
        <f t="shared" si="18"/>
        <v>2025-12</v>
      </c>
      <c r="F628" t="str">
        <f t="shared" si="19"/>
        <v>Thu</v>
      </c>
    </row>
    <row r="629" spans="1:6" x14ac:dyDescent="0.3">
      <c r="A629" s="1">
        <v>46010</v>
      </c>
      <c r="B629" t="s">
        <v>15</v>
      </c>
      <c r="C629">
        <v>29</v>
      </c>
      <c r="D629">
        <v>603000</v>
      </c>
      <c r="E629" t="str">
        <f t="shared" si="18"/>
        <v>2025-12</v>
      </c>
      <c r="F629" t="str">
        <f t="shared" si="19"/>
        <v>Fri</v>
      </c>
    </row>
    <row r="630" spans="1:6" x14ac:dyDescent="0.3">
      <c r="A630" s="1">
        <v>46011</v>
      </c>
      <c r="B630" t="s">
        <v>15</v>
      </c>
      <c r="C630">
        <v>45</v>
      </c>
      <c r="D630">
        <v>1024000</v>
      </c>
      <c r="E630" t="str">
        <f t="shared" si="18"/>
        <v>2025-12</v>
      </c>
      <c r="F630" t="str">
        <f t="shared" si="19"/>
        <v>Sat</v>
      </c>
    </row>
    <row r="631" spans="1:6" x14ac:dyDescent="0.3">
      <c r="A631" s="1">
        <v>46012</v>
      </c>
      <c r="B631" t="s">
        <v>15</v>
      </c>
      <c r="C631">
        <v>45</v>
      </c>
      <c r="D631">
        <v>926000</v>
      </c>
      <c r="E631" t="str">
        <f t="shared" si="18"/>
        <v>2025-12</v>
      </c>
      <c r="F631" t="str">
        <f t="shared" si="19"/>
        <v>Sun</v>
      </c>
    </row>
    <row r="632" spans="1:6" x14ac:dyDescent="0.3">
      <c r="A632" s="1">
        <v>46013</v>
      </c>
      <c r="B632" t="s">
        <v>15</v>
      </c>
      <c r="C632">
        <v>34</v>
      </c>
      <c r="D632">
        <v>658000</v>
      </c>
      <c r="E632" t="str">
        <f t="shared" si="18"/>
        <v>2025-12</v>
      </c>
      <c r="F632" t="str">
        <f t="shared" si="19"/>
        <v>Mon</v>
      </c>
    </row>
    <row r="633" spans="1:6" x14ac:dyDescent="0.3">
      <c r="A633" s="1">
        <v>46014</v>
      </c>
      <c r="B633" t="s">
        <v>15</v>
      </c>
      <c r="C633">
        <v>28</v>
      </c>
      <c r="D633">
        <v>618000</v>
      </c>
      <c r="E633" t="str">
        <f t="shared" si="18"/>
        <v>2025-12</v>
      </c>
      <c r="F633" t="str">
        <f t="shared" si="19"/>
        <v>Tue</v>
      </c>
    </row>
    <row r="634" spans="1:6" x14ac:dyDescent="0.3">
      <c r="A634" s="1">
        <v>46015</v>
      </c>
      <c r="B634" t="s">
        <v>15</v>
      </c>
      <c r="C634">
        <v>34</v>
      </c>
      <c r="D634">
        <v>806000</v>
      </c>
      <c r="E634" t="str">
        <f t="shared" si="18"/>
        <v>2025-12</v>
      </c>
      <c r="F634" t="str">
        <f t="shared" si="19"/>
        <v>Wed</v>
      </c>
    </row>
    <row r="635" spans="1:6" x14ac:dyDescent="0.3">
      <c r="A635" s="1">
        <v>46016</v>
      </c>
      <c r="B635" t="s">
        <v>15</v>
      </c>
      <c r="C635">
        <v>32</v>
      </c>
      <c r="D635">
        <v>659000</v>
      </c>
      <c r="E635" t="str">
        <f t="shared" si="18"/>
        <v>2025-12</v>
      </c>
      <c r="F635" t="str">
        <f t="shared" si="19"/>
        <v>Thu</v>
      </c>
    </row>
    <row r="636" spans="1:6" x14ac:dyDescent="0.3">
      <c r="A636" s="1">
        <v>46017</v>
      </c>
      <c r="B636" t="s">
        <v>15</v>
      </c>
      <c r="C636">
        <v>25</v>
      </c>
      <c r="D636">
        <v>594000</v>
      </c>
      <c r="E636" t="str">
        <f t="shared" si="18"/>
        <v>2025-12</v>
      </c>
      <c r="F636" t="str">
        <f t="shared" si="19"/>
        <v>Fri</v>
      </c>
    </row>
    <row r="637" spans="1:6" x14ac:dyDescent="0.3">
      <c r="A637" s="1">
        <v>46018</v>
      </c>
      <c r="B637" t="s">
        <v>15</v>
      </c>
      <c r="C637">
        <v>42</v>
      </c>
      <c r="D637">
        <v>902000</v>
      </c>
      <c r="E637" t="str">
        <f t="shared" si="18"/>
        <v>2025-12</v>
      </c>
      <c r="F637" t="str">
        <f t="shared" si="19"/>
        <v>Sat</v>
      </c>
    </row>
    <row r="638" spans="1:6" x14ac:dyDescent="0.3">
      <c r="A638" s="1">
        <v>46019</v>
      </c>
      <c r="B638" t="s">
        <v>15</v>
      </c>
      <c r="C638">
        <v>42</v>
      </c>
      <c r="D638">
        <v>836000</v>
      </c>
      <c r="E638" t="str">
        <f t="shared" si="18"/>
        <v>2025-12</v>
      </c>
      <c r="F638" t="str">
        <f t="shared" si="19"/>
        <v>Sun</v>
      </c>
    </row>
    <row r="639" spans="1:6" x14ac:dyDescent="0.3">
      <c r="A639" s="1">
        <v>46020</v>
      </c>
      <c r="B639" t="s">
        <v>15</v>
      </c>
      <c r="C639">
        <v>29</v>
      </c>
      <c r="D639">
        <v>702000</v>
      </c>
      <c r="E639" t="str">
        <f t="shared" si="18"/>
        <v>2025-12</v>
      </c>
      <c r="F639" t="str">
        <f t="shared" si="19"/>
        <v>Mon</v>
      </c>
    </row>
    <row r="640" spans="1:6" x14ac:dyDescent="0.3">
      <c r="A640" s="1">
        <v>46021</v>
      </c>
      <c r="B640" t="s">
        <v>15</v>
      </c>
      <c r="C640">
        <v>34</v>
      </c>
      <c r="D640">
        <v>662000</v>
      </c>
      <c r="E640" t="str">
        <f t="shared" si="18"/>
        <v>2025-12</v>
      </c>
      <c r="F640" t="str">
        <f t="shared" si="19"/>
        <v>Tue</v>
      </c>
    </row>
    <row r="641" spans="1:6" x14ac:dyDescent="0.3">
      <c r="A641" s="1">
        <v>46022</v>
      </c>
      <c r="B641" t="s">
        <v>15</v>
      </c>
      <c r="C641">
        <v>27</v>
      </c>
      <c r="D641">
        <v>618000</v>
      </c>
      <c r="E641" t="str">
        <f t="shared" si="18"/>
        <v>2025-12</v>
      </c>
      <c r="F641" t="str">
        <f t="shared" si="19"/>
        <v>Wed</v>
      </c>
    </row>
    <row r="642" spans="1:6" x14ac:dyDescent="0.3">
      <c r="A642" s="1">
        <v>45292</v>
      </c>
      <c r="B642" t="s">
        <v>16</v>
      </c>
      <c r="C642">
        <v>32</v>
      </c>
      <c r="D642">
        <v>831000</v>
      </c>
      <c r="E642" t="str">
        <f t="shared" ref="E642:E705" si="20">TEXT(A642,"yyyy-mm")</f>
        <v>2024-01</v>
      </c>
      <c r="F642" t="str">
        <f t="shared" ref="F642:F705" si="21">TEXT(A642,"ddd")</f>
        <v>Mon</v>
      </c>
    </row>
    <row r="643" spans="1:6" x14ac:dyDescent="0.3">
      <c r="A643" s="1">
        <v>45293</v>
      </c>
      <c r="B643" t="s">
        <v>16</v>
      </c>
      <c r="C643">
        <v>31</v>
      </c>
      <c r="D643">
        <v>867000</v>
      </c>
      <c r="E643" t="str">
        <f t="shared" si="20"/>
        <v>2024-01</v>
      </c>
      <c r="F643" t="str">
        <f t="shared" si="21"/>
        <v>Tue</v>
      </c>
    </row>
    <row r="644" spans="1:6" x14ac:dyDescent="0.3">
      <c r="A644" s="1">
        <v>45294</v>
      </c>
      <c r="B644" t="s">
        <v>16</v>
      </c>
      <c r="C644">
        <v>26</v>
      </c>
      <c r="D644">
        <v>831000</v>
      </c>
      <c r="E644" t="str">
        <f t="shared" si="20"/>
        <v>2024-01</v>
      </c>
      <c r="F644" t="str">
        <f t="shared" si="21"/>
        <v>Wed</v>
      </c>
    </row>
    <row r="645" spans="1:6" x14ac:dyDescent="0.3">
      <c r="A645" s="1">
        <v>45295</v>
      </c>
      <c r="B645" t="s">
        <v>16</v>
      </c>
      <c r="C645">
        <v>24</v>
      </c>
      <c r="D645">
        <v>713000</v>
      </c>
      <c r="E645" t="str">
        <f t="shared" si="20"/>
        <v>2024-01</v>
      </c>
      <c r="F645" t="str">
        <f t="shared" si="21"/>
        <v>Thu</v>
      </c>
    </row>
    <row r="646" spans="1:6" x14ac:dyDescent="0.3">
      <c r="A646" s="1">
        <v>45296</v>
      </c>
      <c r="B646" t="s">
        <v>16</v>
      </c>
      <c r="C646">
        <v>37</v>
      </c>
      <c r="D646">
        <v>874000</v>
      </c>
      <c r="E646" t="str">
        <f t="shared" si="20"/>
        <v>2024-01</v>
      </c>
      <c r="F646" t="str">
        <f t="shared" si="21"/>
        <v>Fri</v>
      </c>
    </row>
    <row r="647" spans="1:6" x14ac:dyDescent="0.3">
      <c r="A647" s="1">
        <v>45297</v>
      </c>
      <c r="B647" t="s">
        <v>16</v>
      </c>
      <c r="C647">
        <v>21</v>
      </c>
      <c r="D647">
        <v>586000</v>
      </c>
      <c r="E647" t="str">
        <f t="shared" si="20"/>
        <v>2024-01</v>
      </c>
      <c r="F647" t="str">
        <f t="shared" si="21"/>
        <v>Sat</v>
      </c>
    </row>
    <row r="648" spans="1:6" x14ac:dyDescent="0.3">
      <c r="A648" s="1">
        <v>45298</v>
      </c>
      <c r="B648" t="s">
        <v>16</v>
      </c>
      <c r="C648">
        <v>20</v>
      </c>
      <c r="D648">
        <v>537000</v>
      </c>
      <c r="E648" t="str">
        <f t="shared" si="20"/>
        <v>2024-01</v>
      </c>
      <c r="F648" t="str">
        <f t="shared" si="21"/>
        <v>Sun</v>
      </c>
    </row>
    <row r="649" spans="1:6" x14ac:dyDescent="0.3">
      <c r="A649" s="1">
        <v>45299</v>
      </c>
      <c r="B649" t="s">
        <v>16</v>
      </c>
      <c r="C649">
        <v>30</v>
      </c>
      <c r="D649">
        <v>852000</v>
      </c>
      <c r="E649" t="str">
        <f t="shared" si="20"/>
        <v>2024-01</v>
      </c>
      <c r="F649" t="str">
        <f t="shared" si="21"/>
        <v>Mon</v>
      </c>
    </row>
    <row r="650" spans="1:6" x14ac:dyDescent="0.3">
      <c r="A650" s="1">
        <v>45300</v>
      </c>
      <c r="B650" t="s">
        <v>16</v>
      </c>
      <c r="C650">
        <v>35</v>
      </c>
      <c r="D650">
        <v>837000</v>
      </c>
      <c r="E650" t="str">
        <f t="shared" si="20"/>
        <v>2024-01</v>
      </c>
      <c r="F650" t="str">
        <f t="shared" si="21"/>
        <v>Tue</v>
      </c>
    </row>
    <row r="651" spans="1:6" x14ac:dyDescent="0.3">
      <c r="A651" s="1">
        <v>45301</v>
      </c>
      <c r="B651" t="s">
        <v>16</v>
      </c>
      <c r="C651">
        <v>29</v>
      </c>
      <c r="D651">
        <v>833000</v>
      </c>
      <c r="E651" t="str">
        <f t="shared" si="20"/>
        <v>2024-01</v>
      </c>
      <c r="F651" t="str">
        <f t="shared" si="21"/>
        <v>Wed</v>
      </c>
    </row>
    <row r="652" spans="1:6" x14ac:dyDescent="0.3">
      <c r="A652" s="1">
        <v>45302</v>
      </c>
      <c r="B652" t="s">
        <v>16</v>
      </c>
      <c r="C652">
        <v>28</v>
      </c>
      <c r="D652">
        <v>814000</v>
      </c>
      <c r="E652" t="str">
        <f t="shared" si="20"/>
        <v>2024-01</v>
      </c>
      <c r="F652" t="str">
        <f t="shared" si="21"/>
        <v>Thu</v>
      </c>
    </row>
    <row r="653" spans="1:6" x14ac:dyDescent="0.3">
      <c r="A653" s="1">
        <v>45303</v>
      </c>
      <c r="B653" t="s">
        <v>16</v>
      </c>
      <c r="C653">
        <v>27</v>
      </c>
      <c r="D653">
        <v>852000</v>
      </c>
      <c r="E653" t="str">
        <f t="shared" si="20"/>
        <v>2024-01</v>
      </c>
      <c r="F653" t="str">
        <f t="shared" si="21"/>
        <v>Fri</v>
      </c>
    </row>
    <row r="654" spans="1:6" x14ac:dyDescent="0.3">
      <c r="A654" s="1">
        <v>45304</v>
      </c>
      <c r="B654" t="s">
        <v>16</v>
      </c>
      <c r="C654">
        <v>18</v>
      </c>
      <c r="D654">
        <v>528000</v>
      </c>
      <c r="E654" t="str">
        <f t="shared" si="20"/>
        <v>2024-01</v>
      </c>
      <c r="F654" t="str">
        <f t="shared" si="21"/>
        <v>Sat</v>
      </c>
    </row>
    <row r="655" spans="1:6" x14ac:dyDescent="0.3">
      <c r="A655" s="1">
        <v>45305</v>
      </c>
      <c r="B655" t="s">
        <v>16</v>
      </c>
      <c r="C655">
        <v>19</v>
      </c>
      <c r="D655">
        <v>558000</v>
      </c>
      <c r="E655" t="str">
        <f t="shared" si="20"/>
        <v>2024-01</v>
      </c>
      <c r="F655" t="str">
        <f t="shared" si="21"/>
        <v>Sun</v>
      </c>
    </row>
    <row r="656" spans="1:6" x14ac:dyDescent="0.3">
      <c r="A656" s="1">
        <v>45306</v>
      </c>
      <c r="B656" t="s">
        <v>16</v>
      </c>
      <c r="C656">
        <v>32</v>
      </c>
      <c r="D656">
        <v>778000</v>
      </c>
      <c r="E656" t="str">
        <f t="shared" si="20"/>
        <v>2024-01</v>
      </c>
      <c r="F656" t="str">
        <f t="shared" si="21"/>
        <v>Mon</v>
      </c>
    </row>
    <row r="657" spans="1:6" x14ac:dyDescent="0.3">
      <c r="A657" s="1">
        <v>45307</v>
      </c>
      <c r="B657" t="s">
        <v>16</v>
      </c>
      <c r="C657">
        <v>26</v>
      </c>
      <c r="D657">
        <v>858000</v>
      </c>
      <c r="E657" t="str">
        <f t="shared" si="20"/>
        <v>2024-01</v>
      </c>
      <c r="F657" t="str">
        <f t="shared" si="21"/>
        <v>Tue</v>
      </c>
    </row>
    <row r="658" spans="1:6" x14ac:dyDescent="0.3">
      <c r="A658" s="1">
        <v>45308</v>
      </c>
      <c r="B658" t="s">
        <v>16</v>
      </c>
      <c r="C658">
        <v>35</v>
      </c>
      <c r="D658">
        <v>818000</v>
      </c>
      <c r="E658" t="str">
        <f t="shared" si="20"/>
        <v>2024-01</v>
      </c>
      <c r="F658" t="str">
        <f t="shared" si="21"/>
        <v>Wed</v>
      </c>
    </row>
    <row r="659" spans="1:6" x14ac:dyDescent="0.3">
      <c r="A659" s="1">
        <v>45309</v>
      </c>
      <c r="B659" t="s">
        <v>16</v>
      </c>
      <c r="C659">
        <v>26</v>
      </c>
      <c r="D659">
        <v>794000</v>
      </c>
      <c r="E659" t="str">
        <f t="shared" si="20"/>
        <v>2024-01</v>
      </c>
      <c r="F659" t="str">
        <f t="shared" si="21"/>
        <v>Thu</v>
      </c>
    </row>
    <row r="660" spans="1:6" x14ac:dyDescent="0.3">
      <c r="A660" s="1">
        <v>45310</v>
      </c>
      <c r="B660" t="s">
        <v>16</v>
      </c>
      <c r="C660">
        <v>28</v>
      </c>
      <c r="D660">
        <v>758000</v>
      </c>
      <c r="E660" t="str">
        <f t="shared" si="20"/>
        <v>2024-01</v>
      </c>
      <c r="F660" t="str">
        <f t="shared" si="21"/>
        <v>Fri</v>
      </c>
    </row>
    <row r="661" spans="1:6" x14ac:dyDescent="0.3">
      <c r="A661" s="1">
        <v>45311</v>
      </c>
      <c r="B661" t="s">
        <v>16</v>
      </c>
      <c r="C661">
        <v>22</v>
      </c>
      <c r="D661">
        <v>555000</v>
      </c>
      <c r="E661" t="str">
        <f t="shared" si="20"/>
        <v>2024-01</v>
      </c>
      <c r="F661" t="str">
        <f t="shared" si="21"/>
        <v>Sat</v>
      </c>
    </row>
    <row r="662" spans="1:6" x14ac:dyDescent="0.3">
      <c r="A662" s="1">
        <v>45312</v>
      </c>
      <c r="B662" t="s">
        <v>16</v>
      </c>
      <c r="C662">
        <v>22</v>
      </c>
      <c r="D662">
        <v>569000</v>
      </c>
      <c r="E662" t="str">
        <f t="shared" si="20"/>
        <v>2024-01</v>
      </c>
      <c r="F662" t="str">
        <f t="shared" si="21"/>
        <v>Sun</v>
      </c>
    </row>
    <row r="663" spans="1:6" x14ac:dyDescent="0.3">
      <c r="A663" s="1">
        <v>45313</v>
      </c>
      <c r="B663" t="s">
        <v>16</v>
      </c>
      <c r="C663">
        <v>30</v>
      </c>
      <c r="D663">
        <v>797000</v>
      </c>
      <c r="E663" t="str">
        <f t="shared" si="20"/>
        <v>2024-01</v>
      </c>
      <c r="F663" t="str">
        <f t="shared" si="21"/>
        <v>Mon</v>
      </c>
    </row>
    <row r="664" spans="1:6" x14ac:dyDescent="0.3">
      <c r="A664" s="1">
        <v>45314</v>
      </c>
      <c r="B664" t="s">
        <v>16</v>
      </c>
      <c r="C664">
        <v>32</v>
      </c>
      <c r="D664">
        <v>913000</v>
      </c>
      <c r="E664" t="str">
        <f t="shared" si="20"/>
        <v>2024-01</v>
      </c>
      <c r="F664" t="str">
        <f t="shared" si="21"/>
        <v>Tue</v>
      </c>
    </row>
    <row r="665" spans="1:6" x14ac:dyDescent="0.3">
      <c r="A665" s="1">
        <v>45315</v>
      </c>
      <c r="B665" t="s">
        <v>16</v>
      </c>
      <c r="C665">
        <v>32</v>
      </c>
      <c r="D665">
        <v>893000</v>
      </c>
      <c r="E665" t="str">
        <f t="shared" si="20"/>
        <v>2024-01</v>
      </c>
      <c r="F665" t="str">
        <f t="shared" si="21"/>
        <v>Wed</v>
      </c>
    </row>
    <row r="666" spans="1:6" x14ac:dyDescent="0.3">
      <c r="A666" s="1">
        <v>45316</v>
      </c>
      <c r="B666" t="s">
        <v>16</v>
      </c>
      <c r="C666">
        <v>20</v>
      </c>
      <c r="D666">
        <v>619000</v>
      </c>
      <c r="E666" t="str">
        <f t="shared" si="20"/>
        <v>2024-01</v>
      </c>
      <c r="F666" t="str">
        <f t="shared" si="21"/>
        <v>Thu</v>
      </c>
    </row>
    <row r="667" spans="1:6" x14ac:dyDescent="0.3">
      <c r="A667" s="1">
        <v>45317</v>
      </c>
      <c r="B667" t="s">
        <v>16</v>
      </c>
      <c r="C667">
        <v>29</v>
      </c>
      <c r="D667">
        <v>680000</v>
      </c>
      <c r="E667" t="str">
        <f t="shared" si="20"/>
        <v>2024-01</v>
      </c>
      <c r="F667" t="str">
        <f t="shared" si="21"/>
        <v>Fri</v>
      </c>
    </row>
    <row r="668" spans="1:6" x14ac:dyDescent="0.3">
      <c r="A668" s="1">
        <v>45318</v>
      </c>
      <c r="B668" t="s">
        <v>16</v>
      </c>
      <c r="C668">
        <v>20</v>
      </c>
      <c r="D668">
        <v>562000</v>
      </c>
      <c r="E668" t="str">
        <f t="shared" si="20"/>
        <v>2024-01</v>
      </c>
      <c r="F668" t="str">
        <f t="shared" si="21"/>
        <v>Sat</v>
      </c>
    </row>
    <row r="669" spans="1:6" x14ac:dyDescent="0.3">
      <c r="A669" s="1">
        <v>45319</v>
      </c>
      <c r="B669" t="s">
        <v>16</v>
      </c>
      <c r="C669">
        <v>21</v>
      </c>
      <c r="D669">
        <v>550000</v>
      </c>
      <c r="E669" t="str">
        <f t="shared" si="20"/>
        <v>2024-01</v>
      </c>
      <c r="F669" t="str">
        <f t="shared" si="21"/>
        <v>Sun</v>
      </c>
    </row>
    <row r="670" spans="1:6" x14ac:dyDescent="0.3">
      <c r="A670" s="1">
        <v>45320</v>
      </c>
      <c r="B670" t="s">
        <v>16</v>
      </c>
      <c r="C670">
        <v>28</v>
      </c>
      <c r="D670">
        <v>837000</v>
      </c>
      <c r="E670" t="str">
        <f t="shared" si="20"/>
        <v>2024-01</v>
      </c>
      <c r="F670" t="str">
        <f t="shared" si="21"/>
        <v>Mon</v>
      </c>
    </row>
    <row r="671" spans="1:6" x14ac:dyDescent="0.3">
      <c r="A671" s="1">
        <v>45321</v>
      </c>
      <c r="B671" t="s">
        <v>16</v>
      </c>
      <c r="C671">
        <v>37</v>
      </c>
      <c r="D671">
        <v>838000</v>
      </c>
      <c r="E671" t="str">
        <f t="shared" si="20"/>
        <v>2024-01</v>
      </c>
      <c r="F671" t="str">
        <f t="shared" si="21"/>
        <v>Tue</v>
      </c>
    </row>
    <row r="672" spans="1:6" x14ac:dyDescent="0.3">
      <c r="A672" s="1">
        <v>45322</v>
      </c>
      <c r="B672" t="s">
        <v>16</v>
      </c>
      <c r="C672">
        <v>36</v>
      </c>
      <c r="D672">
        <v>979000</v>
      </c>
      <c r="E672" t="str">
        <f t="shared" si="20"/>
        <v>2024-01</v>
      </c>
      <c r="F672" t="str">
        <f t="shared" si="21"/>
        <v>Wed</v>
      </c>
    </row>
    <row r="673" spans="1:6" x14ac:dyDescent="0.3">
      <c r="A673" s="1">
        <v>45323</v>
      </c>
      <c r="B673" t="s">
        <v>16</v>
      </c>
      <c r="C673">
        <v>26</v>
      </c>
      <c r="D673">
        <v>740000</v>
      </c>
      <c r="E673" t="str">
        <f t="shared" si="20"/>
        <v>2024-02</v>
      </c>
      <c r="F673" t="str">
        <f t="shared" si="21"/>
        <v>Thu</v>
      </c>
    </row>
    <row r="674" spans="1:6" x14ac:dyDescent="0.3">
      <c r="A674" s="1">
        <v>45324</v>
      </c>
      <c r="B674" t="s">
        <v>16</v>
      </c>
      <c r="C674">
        <v>33</v>
      </c>
      <c r="D674">
        <v>795000</v>
      </c>
      <c r="E674" t="str">
        <f t="shared" si="20"/>
        <v>2024-02</v>
      </c>
      <c r="F674" t="str">
        <f t="shared" si="21"/>
        <v>Fri</v>
      </c>
    </row>
    <row r="675" spans="1:6" x14ac:dyDescent="0.3">
      <c r="A675" s="1">
        <v>45325</v>
      </c>
      <c r="B675" t="s">
        <v>16</v>
      </c>
      <c r="C675">
        <v>22</v>
      </c>
      <c r="D675">
        <v>679000</v>
      </c>
      <c r="E675" t="str">
        <f t="shared" si="20"/>
        <v>2024-02</v>
      </c>
      <c r="F675" t="str">
        <f t="shared" si="21"/>
        <v>Sat</v>
      </c>
    </row>
    <row r="676" spans="1:6" x14ac:dyDescent="0.3">
      <c r="A676" s="1">
        <v>45326</v>
      </c>
      <c r="B676" t="s">
        <v>16</v>
      </c>
      <c r="C676">
        <v>21</v>
      </c>
      <c r="D676">
        <v>607000</v>
      </c>
      <c r="E676" t="str">
        <f t="shared" si="20"/>
        <v>2024-02</v>
      </c>
      <c r="F676" t="str">
        <f t="shared" si="21"/>
        <v>Sun</v>
      </c>
    </row>
    <row r="677" spans="1:6" x14ac:dyDescent="0.3">
      <c r="A677" s="1">
        <v>45327</v>
      </c>
      <c r="B677" t="s">
        <v>16</v>
      </c>
      <c r="C677">
        <v>29</v>
      </c>
      <c r="D677">
        <v>874000</v>
      </c>
      <c r="E677" t="str">
        <f t="shared" si="20"/>
        <v>2024-02</v>
      </c>
      <c r="F677" t="str">
        <f t="shared" si="21"/>
        <v>Mon</v>
      </c>
    </row>
    <row r="678" spans="1:6" x14ac:dyDescent="0.3">
      <c r="A678" s="1">
        <v>45328</v>
      </c>
      <c r="B678" t="s">
        <v>16</v>
      </c>
      <c r="C678">
        <v>26</v>
      </c>
      <c r="D678">
        <v>787000</v>
      </c>
      <c r="E678" t="str">
        <f t="shared" si="20"/>
        <v>2024-02</v>
      </c>
      <c r="F678" t="str">
        <f t="shared" si="21"/>
        <v>Tue</v>
      </c>
    </row>
    <row r="679" spans="1:6" x14ac:dyDescent="0.3">
      <c r="A679" s="1">
        <v>45329</v>
      </c>
      <c r="B679" t="s">
        <v>16</v>
      </c>
      <c r="C679">
        <v>28</v>
      </c>
      <c r="D679">
        <v>703000</v>
      </c>
      <c r="E679" t="str">
        <f t="shared" si="20"/>
        <v>2024-02</v>
      </c>
      <c r="F679" t="str">
        <f t="shared" si="21"/>
        <v>Wed</v>
      </c>
    </row>
    <row r="680" spans="1:6" x14ac:dyDescent="0.3">
      <c r="A680" s="1">
        <v>45330</v>
      </c>
      <c r="B680" t="s">
        <v>16</v>
      </c>
      <c r="C680">
        <v>32</v>
      </c>
      <c r="D680">
        <v>839000</v>
      </c>
      <c r="E680" t="str">
        <f t="shared" si="20"/>
        <v>2024-02</v>
      </c>
      <c r="F680" t="str">
        <f t="shared" si="21"/>
        <v>Thu</v>
      </c>
    </row>
    <row r="681" spans="1:6" x14ac:dyDescent="0.3">
      <c r="A681" s="1">
        <v>45331</v>
      </c>
      <c r="B681" t="s">
        <v>16</v>
      </c>
      <c r="C681">
        <v>30</v>
      </c>
      <c r="D681">
        <v>835000</v>
      </c>
      <c r="E681" t="str">
        <f t="shared" si="20"/>
        <v>2024-02</v>
      </c>
      <c r="F681" t="str">
        <f t="shared" si="21"/>
        <v>Fri</v>
      </c>
    </row>
    <row r="682" spans="1:6" x14ac:dyDescent="0.3">
      <c r="A682" s="1">
        <v>45332</v>
      </c>
      <c r="B682" t="s">
        <v>16</v>
      </c>
      <c r="C682">
        <v>17</v>
      </c>
      <c r="D682">
        <v>512000</v>
      </c>
      <c r="E682" t="str">
        <f t="shared" si="20"/>
        <v>2024-02</v>
      </c>
      <c r="F682" t="str">
        <f t="shared" si="21"/>
        <v>Sat</v>
      </c>
    </row>
    <row r="683" spans="1:6" x14ac:dyDescent="0.3">
      <c r="A683" s="1">
        <v>45333</v>
      </c>
      <c r="B683" t="s">
        <v>16</v>
      </c>
      <c r="C683">
        <v>18</v>
      </c>
      <c r="D683">
        <v>541000</v>
      </c>
      <c r="E683" t="str">
        <f t="shared" si="20"/>
        <v>2024-02</v>
      </c>
      <c r="F683" t="str">
        <f t="shared" si="21"/>
        <v>Sun</v>
      </c>
    </row>
    <row r="684" spans="1:6" x14ac:dyDescent="0.3">
      <c r="A684" s="1">
        <v>45334</v>
      </c>
      <c r="B684" t="s">
        <v>16</v>
      </c>
      <c r="C684">
        <v>31</v>
      </c>
      <c r="D684">
        <v>823000</v>
      </c>
      <c r="E684" t="str">
        <f t="shared" si="20"/>
        <v>2024-02</v>
      </c>
      <c r="F684" t="str">
        <f t="shared" si="21"/>
        <v>Mon</v>
      </c>
    </row>
    <row r="685" spans="1:6" x14ac:dyDescent="0.3">
      <c r="A685" s="1">
        <v>45335</v>
      </c>
      <c r="B685" t="s">
        <v>16</v>
      </c>
      <c r="C685">
        <v>29</v>
      </c>
      <c r="D685">
        <v>758000</v>
      </c>
      <c r="E685" t="str">
        <f t="shared" si="20"/>
        <v>2024-02</v>
      </c>
      <c r="F685" t="str">
        <f t="shared" si="21"/>
        <v>Tue</v>
      </c>
    </row>
    <row r="686" spans="1:6" x14ac:dyDescent="0.3">
      <c r="A686" s="1">
        <v>45336</v>
      </c>
      <c r="B686" t="s">
        <v>16</v>
      </c>
      <c r="C686">
        <v>32</v>
      </c>
      <c r="D686">
        <v>822000</v>
      </c>
      <c r="E686" t="str">
        <f t="shared" si="20"/>
        <v>2024-02</v>
      </c>
      <c r="F686" t="str">
        <f t="shared" si="21"/>
        <v>Wed</v>
      </c>
    </row>
    <row r="687" spans="1:6" x14ac:dyDescent="0.3">
      <c r="A687" s="1">
        <v>45337</v>
      </c>
      <c r="B687" t="s">
        <v>16</v>
      </c>
      <c r="C687">
        <v>32</v>
      </c>
      <c r="D687">
        <v>837000</v>
      </c>
      <c r="E687" t="str">
        <f t="shared" si="20"/>
        <v>2024-02</v>
      </c>
      <c r="F687" t="str">
        <f t="shared" si="21"/>
        <v>Thu</v>
      </c>
    </row>
    <row r="688" spans="1:6" x14ac:dyDescent="0.3">
      <c r="A688" s="1">
        <v>45338</v>
      </c>
      <c r="B688" t="s">
        <v>16</v>
      </c>
      <c r="C688">
        <v>30</v>
      </c>
      <c r="D688">
        <v>833000</v>
      </c>
      <c r="E688" t="str">
        <f t="shared" si="20"/>
        <v>2024-02</v>
      </c>
      <c r="F688" t="str">
        <f t="shared" si="21"/>
        <v>Fri</v>
      </c>
    </row>
    <row r="689" spans="1:6" x14ac:dyDescent="0.3">
      <c r="A689" s="1">
        <v>45339</v>
      </c>
      <c r="B689" t="s">
        <v>16</v>
      </c>
      <c r="C689">
        <v>20</v>
      </c>
      <c r="D689">
        <v>552000</v>
      </c>
      <c r="E689" t="str">
        <f t="shared" si="20"/>
        <v>2024-02</v>
      </c>
      <c r="F689" t="str">
        <f t="shared" si="21"/>
        <v>Sat</v>
      </c>
    </row>
    <row r="690" spans="1:6" x14ac:dyDescent="0.3">
      <c r="A690" s="1">
        <v>45340</v>
      </c>
      <c r="B690" t="s">
        <v>16</v>
      </c>
      <c r="C690">
        <v>18</v>
      </c>
      <c r="D690">
        <v>610000</v>
      </c>
      <c r="E690" t="str">
        <f t="shared" si="20"/>
        <v>2024-02</v>
      </c>
      <c r="F690" t="str">
        <f t="shared" si="21"/>
        <v>Sun</v>
      </c>
    </row>
    <row r="691" spans="1:6" x14ac:dyDescent="0.3">
      <c r="A691" s="1">
        <v>45341</v>
      </c>
      <c r="B691" t="s">
        <v>16</v>
      </c>
      <c r="C691">
        <v>34</v>
      </c>
      <c r="D691">
        <v>899000</v>
      </c>
      <c r="E691" t="str">
        <f t="shared" si="20"/>
        <v>2024-02</v>
      </c>
      <c r="F691" t="str">
        <f t="shared" si="21"/>
        <v>Mon</v>
      </c>
    </row>
    <row r="692" spans="1:6" x14ac:dyDescent="0.3">
      <c r="A692" s="1">
        <v>45342</v>
      </c>
      <c r="B692" t="s">
        <v>16</v>
      </c>
      <c r="C692">
        <v>31</v>
      </c>
      <c r="D692">
        <v>857000</v>
      </c>
      <c r="E692" t="str">
        <f t="shared" si="20"/>
        <v>2024-02</v>
      </c>
      <c r="F692" t="str">
        <f t="shared" si="21"/>
        <v>Tue</v>
      </c>
    </row>
    <row r="693" spans="1:6" x14ac:dyDescent="0.3">
      <c r="A693" s="1">
        <v>45343</v>
      </c>
      <c r="B693" t="s">
        <v>16</v>
      </c>
      <c r="C693">
        <v>26</v>
      </c>
      <c r="D693">
        <v>772000</v>
      </c>
      <c r="E693" t="str">
        <f t="shared" si="20"/>
        <v>2024-02</v>
      </c>
      <c r="F693" t="str">
        <f t="shared" si="21"/>
        <v>Wed</v>
      </c>
    </row>
    <row r="694" spans="1:6" x14ac:dyDescent="0.3">
      <c r="A694" s="1">
        <v>45344</v>
      </c>
      <c r="B694" t="s">
        <v>16</v>
      </c>
      <c r="C694">
        <v>35</v>
      </c>
      <c r="D694">
        <v>888000</v>
      </c>
      <c r="E694" t="str">
        <f t="shared" si="20"/>
        <v>2024-02</v>
      </c>
      <c r="F694" t="str">
        <f t="shared" si="21"/>
        <v>Thu</v>
      </c>
    </row>
    <row r="695" spans="1:6" x14ac:dyDescent="0.3">
      <c r="A695" s="1">
        <v>45345</v>
      </c>
      <c r="B695" t="s">
        <v>16</v>
      </c>
      <c r="C695">
        <v>29</v>
      </c>
      <c r="D695">
        <v>796000</v>
      </c>
      <c r="E695" t="str">
        <f t="shared" si="20"/>
        <v>2024-02</v>
      </c>
      <c r="F695" t="str">
        <f t="shared" si="21"/>
        <v>Fri</v>
      </c>
    </row>
    <row r="696" spans="1:6" x14ac:dyDescent="0.3">
      <c r="A696" s="1">
        <v>45346</v>
      </c>
      <c r="B696" t="s">
        <v>16</v>
      </c>
      <c r="C696">
        <v>22</v>
      </c>
      <c r="D696">
        <v>627000</v>
      </c>
      <c r="E696" t="str">
        <f t="shared" si="20"/>
        <v>2024-02</v>
      </c>
      <c r="F696" t="str">
        <f t="shared" si="21"/>
        <v>Sat</v>
      </c>
    </row>
    <row r="697" spans="1:6" x14ac:dyDescent="0.3">
      <c r="A697" s="1">
        <v>45347</v>
      </c>
      <c r="B697" t="s">
        <v>16</v>
      </c>
      <c r="C697">
        <v>18</v>
      </c>
      <c r="D697">
        <v>525000</v>
      </c>
      <c r="E697" t="str">
        <f t="shared" si="20"/>
        <v>2024-02</v>
      </c>
      <c r="F697" t="str">
        <f t="shared" si="21"/>
        <v>Sun</v>
      </c>
    </row>
    <row r="698" spans="1:6" x14ac:dyDescent="0.3">
      <c r="A698" s="1">
        <v>45348</v>
      </c>
      <c r="B698" t="s">
        <v>16</v>
      </c>
      <c r="C698">
        <v>37</v>
      </c>
      <c r="D698">
        <v>904000</v>
      </c>
      <c r="E698" t="str">
        <f t="shared" si="20"/>
        <v>2024-02</v>
      </c>
      <c r="F698" t="str">
        <f t="shared" si="21"/>
        <v>Mon</v>
      </c>
    </row>
    <row r="699" spans="1:6" x14ac:dyDescent="0.3">
      <c r="A699" s="1">
        <v>45349</v>
      </c>
      <c r="B699" t="s">
        <v>16</v>
      </c>
      <c r="C699">
        <v>27</v>
      </c>
      <c r="D699">
        <v>835000</v>
      </c>
      <c r="E699" t="str">
        <f t="shared" si="20"/>
        <v>2024-02</v>
      </c>
      <c r="F699" t="str">
        <f t="shared" si="21"/>
        <v>Tue</v>
      </c>
    </row>
    <row r="700" spans="1:6" x14ac:dyDescent="0.3">
      <c r="A700" s="1">
        <v>45350</v>
      </c>
      <c r="B700" t="s">
        <v>16</v>
      </c>
      <c r="C700">
        <v>27</v>
      </c>
      <c r="D700">
        <v>743000</v>
      </c>
      <c r="E700" t="str">
        <f t="shared" si="20"/>
        <v>2024-02</v>
      </c>
      <c r="F700" t="str">
        <f t="shared" si="21"/>
        <v>Wed</v>
      </c>
    </row>
    <row r="701" spans="1:6" x14ac:dyDescent="0.3">
      <c r="A701" s="1">
        <v>45351</v>
      </c>
      <c r="B701" t="s">
        <v>16</v>
      </c>
      <c r="C701">
        <v>29</v>
      </c>
      <c r="D701">
        <v>814000</v>
      </c>
      <c r="E701" t="str">
        <f t="shared" si="20"/>
        <v>2024-02</v>
      </c>
      <c r="F701" t="str">
        <f t="shared" si="21"/>
        <v>Thu</v>
      </c>
    </row>
    <row r="702" spans="1:6" x14ac:dyDescent="0.3">
      <c r="A702" s="1">
        <v>45352</v>
      </c>
      <c r="B702" t="s">
        <v>16</v>
      </c>
      <c r="C702">
        <v>28</v>
      </c>
      <c r="D702">
        <v>842000</v>
      </c>
      <c r="E702" t="str">
        <f t="shared" si="20"/>
        <v>2024-03</v>
      </c>
      <c r="F702" t="str">
        <f t="shared" si="21"/>
        <v>Fri</v>
      </c>
    </row>
    <row r="703" spans="1:6" x14ac:dyDescent="0.3">
      <c r="A703" s="1">
        <v>45353</v>
      </c>
      <c r="B703" t="s">
        <v>16</v>
      </c>
      <c r="C703">
        <v>20</v>
      </c>
      <c r="D703">
        <v>598000</v>
      </c>
      <c r="E703" t="str">
        <f t="shared" si="20"/>
        <v>2024-03</v>
      </c>
      <c r="F703" t="str">
        <f t="shared" si="21"/>
        <v>Sat</v>
      </c>
    </row>
    <row r="704" spans="1:6" x14ac:dyDescent="0.3">
      <c r="A704" s="1">
        <v>45354</v>
      </c>
      <c r="B704" t="s">
        <v>16</v>
      </c>
      <c r="C704">
        <v>17</v>
      </c>
      <c r="D704">
        <v>532000</v>
      </c>
      <c r="E704" t="str">
        <f t="shared" si="20"/>
        <v>2024-03</v>
      </c>
      <c r="F704" t="str">
        <f t="shared" si="21"/>
        <v>Sun</v>
      </c>
    </row>
    <row r="705" spans="1:6" x14ac:dyDescent="0.3">
      <c r="A705" s="1">
        <v>45355</v>
      </c>
      <c r="B705" t="s">
        <v>16</v>
      </c>
      <c r="C705">
        <v>27</v>
      </c>
      <c r="D705">
        <v>756000</v>
      </c>
      <c r="E705" t="str">
        <f t="shared" si="20"/>
        <v>2024-03</v>
      </c>
      <c r="F705" t="str">
        <f t="shared" si="21"/>
        <v>Mon</v>
      </c>
    </row>
    <row r="706" spans="1:6" x14ac:dyDescent="0.3">
      <c r="A706" s="1">
        <v>45356</v>
      </c>
      <c r="B706" t="s">
        <v>16</v>
      </c>
      <c r="C706">
        <v>31</v>
      </c>
      <c r="D706">
        <v>855000</v>
      </c>
      <c r="E706" t="str">
        <f t="shared" ref="E706:E769" si="22">TEXT(A706,"yyyy-mm")</f>
        <v>2024-03</v>
      </c>
      <c r="F706" t="str">
        <f t="shared" ref="F706:F769" si="23">TEXT(A706,"ddd")</f>
        <v>Tue</v>
      </c>
    </row>
    <row r="707" spans="1:6" x14ac:dyDescent="0.3">
      <c r="A707" s="1">
        <v>45357</v>
      </c>
      <c r="B707" t="s">
        <v>16</v>
      </c>
      <c r="C707">
        <v>28</v>
      </c>
      <c r="D707">
        <v>805000</v>
      </c>
      <c r="E707" t="str">
        <f t="shared" si="22"/>
        <v>2024-03</v>
      </c>
      <c r="F707" t="str">
        <f t="shared" si="23"/>
        <v>Wed</v>
      </c>
    </row>
    <row r="708" spans="1:6" x14ac:dyDescent="0.3">
      <c r="A708" s="1">
        <v>45358</v>
      </c>
      <c r="B708" t="s">
        <v>16</v>
      </c>
      <c r="C708">
        <v>34</v>
      </c>
      <c r="D708">
        <v>859000</v>
      </c>
      <c r="E708" t="str">
        <f t="shared" si="22"/>
        <v>2024-03</v>
      </c>
      <c r="F708" t="str">
        <f t="shared" si="23"/>
        <v>Thu</v>
      </c>
    </row>
    <row r="709" spans="1:6" x14ac:dyDescent="0.3">
      <c r="A709" s="1">
        <v>45359</v>
      </c>
      <c r="B709" t="s">
        <v>16</v>
      </c>
      <c r="C709">
        <v>29</v>
      </c>
      <c r="D709">
        <v>899000</v>
      </c>
      <c r="E709" t="str">
        <f t="shared" si="22"/>
        <v>2024-03</v>
      </c>
      <c r="F709" t="str">
        <f t="shared" si="23"/>
        <v>Fri</v>
      </c>
    </row>
    <row r="710" spans="1:6" x14ac:dyDescent="0.3">
      <c r="A710" s="1">
        <v>45360</v>
      </c>
      <c r="B710" t="s">
        <v>16</v>
      </c>
      <c r="C710">
        <v>19</v>
      </c>
      <c r="D710">
        <v>499000</v>
      </c>
      <c r="E710" t="str">
        <f t="shared" si="22"/>
        <v>2024-03</v>
      </c>
      <c r="F710" t="str">
        <f t="shared" si="23"/>
        <v>Sat</v>
      </c>
    </row>
    <row r="711" spans="1:6" x14ac:dyDescent="0.3">
      <c r="A711" s="1">
        <v>45361</v>
      </c>
      <c r="B711" t="s">
        <v>16</v>
      </c>
      <c r="C711">
        <v>24</v>
      </c>
      <c r="D711">
        <v>600000</v>
      </c>
      <c r="E711" t="str">
        <f t="shared" si="22"/>
        <v>2024-03</v>
      </c>
      <c r="F711" t="str">
        <f t="shared" si="23"/>
        <v>Sun</v>
      </c>
    </row>
    <row r="712" spans="1:6" x14ac:dyDescent="0.3">
      <c r="A712" s="1">
        <v>45362</v>
      </c>
      <c r="B712" t="s">
        <v>16</v>
      </c>
      <c r="C712">
        <v>28</v>
      </c>
      <c r="D712">
        <v>936000</v>
      </c>
      <c r="E712" t="str">
        <f t="shared" si="22"/>
        <v>2024-03</v>
      </c>
      <c r="F712" t="str">
        <f t="shared" si="23"/>
        <v>Mon</v>
      </c>
    </row>
    <row r="713" spans="1:6" x14ac:dyDescent="0.3">
      <c r="A713" s="1">
        <v>45363</v>
      </c>
      <c r="B713" t="s">
        <v>16</v>
      </c>
      <c r="C713">
        <v>30</v>
      </c>
      <c r="D713">
        <v>821000</v>
      </c>
      <c r="E713" t="str">
        <f t="shared" si="22"/>
        <v>2024-03</v>
      </c>
      <c r="F713" t="str">
        <f t="shared" si="23"/>
        <v>Tue</v>
      </c>
    </row>
    <row r="714" spans="1:6" x14ac:dyDescent="0.3">
      <c r="A714" s="1">
        <v>45364</v>
      </c>
      <c r="B714" t="s">
        <v>16</v>
      </c>
      <c r="C714">
        <v>31</v>
      </c>
      <c r="D714">
        <v>782000</v>
      </c>
      <c r="E714" t="str">
        <f t="shared" si="22"/>
        <v>2024-03</v>
      </c>
      <c r="F714" t="str">
        <f t="shared" si="23"/>
        <v>Wed</v>
      </c>
    </row>
    <row r="715" spans="1:6" x14ac:dyDescent="0.3">
      <c r="A715" s="1">
        <v>45365</v>
      </c>
      <c r="B715" t="s">
        <v>16</v>
      </c>
      <c r="C715">
        <v>28</v>
      </c>
      <c r="D715">
        <v>902000</v>
      </c>
      <c r="E715" t="str">
        <f t="shared" si="22"/>
        <v>2024-03</v>
      </c>
      <c r="F715" t="str">
        <f t="shared" si="23"/>
        <v>Thu</v>
      </c>
    </row>
    <row r="716" spans="1:6" x14ac:dyDescent="0.3">
      <c r="A716" s="1">
        <v>45366</v>
      </c>
      <c r="B716" t="s">
        <v>16</v>
      </c>
      <c r="C716">
        <v>32</v>
      </c>
      <c r="D716">
        <v>864000</v>
      </c>
      <c r="E716" t="str">
        <f t="shared" si="22"/>
        <v>2024-03</v>
      </c>
      <c r="F716" t="str">
        <f t="shared" si="23"/>
        <v>Fri</v>
      </c>
    </row>
    <row r="717" spans="1:6" x14ac:dyDescent="0.3">
      <c r="A717" s="1">
        <v>45367</v>
      </c>
      <c r="B717" t="s">
        <v>16</v>
      </c>
      <c r="C717">
        <v>21</v>
      </c>
      <c r="D717">
        <v>636000</v>
      </c>
      <c r="E717" t="str">
        <f t="shared" si="22"/>
        <v>2024-03</v>
      </c>
      <c r="F717" t="str">
        <f t="shared" si="23"/>
        <v>Sat</v>
      </c>
    </row>
    <row r="718" spans="1:6" x14ac:dyDescent="0.3">
      <c r="A718" s="1">
        <v>45368</v>
      </c>
      <c r="B718" t="s">
        <v>16</v>
      </c>
      <c r="C718">
        <v>22</v>
      </c>
      <c r="D718">
        <v>571000</v>
      </c>
      <c r="E718" t="str">
        <f t="shared" si="22"/>
        <v>2024-03</v>
      </c>
      <c r="F718" t="str">
        <f t="shared" si="23"/>
        <v>Sun</v>
      </c>
    </row>
    <row r="719" spans="1:6" x14ac:dyDescent="0.3">
      <c r="A719" s="1">
        <v>45369</v>
      </c>
      <c r="B719" t="s">
        <v>16</v>
      </c>
      <c r="C719">
        <v>27</v>
      </c>
      <c r="D719">
        <v>734000</v>
      </c>
      <c r="E719" t="str">
        <f t="shared" si="22"/>
        <v>2024-03</v>
      </c>
      <c r="F719" t="str">
        <f t="shared" si="23"/>
        <v>Mon</v>
      </c>
    </row>
    <row r="720" spans="1:6" x14ac:dyDescent="0.3">
      <c r="A720" s="1">
        <v>45370</v>
      </c>
      <c r="B720" t="s">
        <v>16</v>
      </c>
      <c r="C720">
        <v>35</v>
      </c>
      <c r="D720">
        <v>839000</v>
      </c>
      <c r="E720" t="str">
        <f t="shared" si="22"/>
        <v>2024-03</v>
      </c>
      <c r="F720" t="str">
        <f t="shared" si="23"/>
        <v>Tue</v>
      </c>
    </row>
    <row r="721" spans="1:6" x14ac:dyDescent="0.3">
      <c r="A721" s="1">
        <v>45371</v>
      </c>
      <c r="B721" t="s">
        <v>16</v>
      </c>
      <c r="C721">
        <v>35</v>
      </c>
      <c r="D721">
        <v>814000</v>
      </c>
      <c r="E721" t="str">
        <f t="shared" si="22"/>
        <v>2024-03</v>
      </c>
      <c r="F721" t="str">
        <f t="shared" si="23"/>
        <v>Wed</v>
      </c>
    </row>
    <row r="722" spans="1:6" x14ac:dyDescent="0.3">
      <c r="A722" s="1">
        <v>45372</v>
      </c>
      <c r="B722" t="s">
        <v>16</v>
      </c>
      <c r="C722">
        <v>35</v>
      </c>
      <c r="D722">
        <v>907000</v>
      </c>
      <c r="E722" t="str">
        <f t="shared" si="22"/>
        <v>2024-03</v>
      </c>
      <c r="F722" t="str">
        <f t="shared" si="23"/>
        <v>Thu</v>
      </c>
    </row>
    <row r="723" spans="1:6" x14ac:dyDescent="0.3">
      <c r="A723" s="1">
        <v>45373</v>
      </c>
      <c r="B723" t="s">
        <v>16</v>
      </c>
      <c r="C723">
        <v>31</v>
      </c>
      <c r="D723">
        <v>863000</v>
      </c>
      <c r="E723" t="str">
        <f t="shared" si="22"/>
        <v>2024-03</v>
      </c>
      <c r="F723" t="str">
        <f t="shared" si="23"/>
        <v>Fri</v>
      </c>
    </row>
    <row r="724" spans="1:6" x14ac:dyDescent="0.3">
      <c r="A724" s="1">
        <v>45374</v>
      </c>
      <c r="B724" t="s">
        <v>16</v>
      </c>
      <c r="C724">
        <v>17</v>
      </c>
      <c r="D724">
        <v>505000</v>
      </c>
      <c r="E724" t="str">
        <f t="shared" si="22"/>
        <v>2024-03</v>
      </c>
      <c r="F724" t="str">
        <f t="shared" si="23"/>
        <v>Sat</v>
      </c>
    </row>
    <row r="725" spans="1:6" x14ac:dyDescent="0.3">
      <c r="A725" s="1">
        <v>45375</v>
      </c>
      <c r="B725" t="s">
        <v>16</v>
      </c>
      <c r="C725">
        <v>16</v>
      </c>
      <c r="D725">
        <v>528000</v>
      </c>
      <c r="E725" t="str">
        <f t="shared" si="22"/>
        <v>2024-03</v>
      </c>
      <c r="F725" t="str">
        <f t="shared" si="23"/>
        <v>Sun</v>
      </c>
    </row>
    <row r="726" spans="1:6" x14ac:dyDescent="0.3">
      <c r="A726" s="1">
        <v>45376</v>
      </c>
      <c r="B726" t="s">
        <v>16</v>
      </c>
      <c r="C726">
        <v>36</v>
      </c>
      <c r="D726">
        <v>918000</v>
      </c>
      <c r="E726" t="str">
        <f t="shared" si="22"/>
        <v>2024-03</v>
      </c>
      <c r="F726" t="str">
        <f t="shared" si="23"/>
        <v>Mon</v>
      </c>
    </row>
    <row r="727" spans="1:6" x14ac:dyDescent="0.3">
      <c r="A727" s="1">
        <v>45377</v>
      </c>
      <c r="B727" t="s">
        <v>16</v>
      </c>
      <c r="C727">
        <v>30</v>
      </c>
      <c r="D727">
        <v>903000</v>
      </c>
      <c r="E727" t="str">
        <f t="shared" si="22"/>
        <v>2024-03</v>
      </c>
      <c r="F727" t="str">
        <f t="shared" si="23"/>
        <v>Tue</v>
      </c>
    </row>
    <row r="728" spans="1:6" x14ac:dyDescent="0.3">
      <c r="A728" s="1">
        <v>45378</v>
      </c>
      <c r="B728" t="s">
        <v>16</v>
      </c>
      <c r="C728">
        <v>30</v>
      </c>
      <c r="D728">
        <v>802000</v>
      </c>
      <c r="E728" t="str">
        <f t="shared" si="22"/>
        <v>2024-03</v>
      </c>
      <c r="F728" t="str">
        <f t="shared" si="23"/>
        <v>Wed</v>
      </c>
    </row>
    <row r="729" spans="1:6" x14ac:dyDescent="0.3">
      <c r="A729" s="1">
        <v>45379</v>
      </c>
      <c r="B729" t="s">
        <v>16</v>
      </c>
      <c r="C729">
        <v>31</v>
      </c>
      <c r="D729">
        <v>852000</v>
      </c>
      <c r="E729" t="str">
        <f t="shared" si="22"/>
        <v>2024-03</v>
      </c>
      <c r="F729" t="str">
        <f t="shared" si="23"/>
        <v>Thu</v>
      </c>
    </row>
    <row r="730" spans="1:6" x14ac:dyDescent="0.3">
      <c r="A730" s="1">
        <v>45380</v>
      </c>
      <c r="B730" t="s">
        <v>16</v>
      </c>
      <c r="C730">
        <v>36</v>
      </c>
      <c r="D730">
        <v>886000</v>
      </c>
      <c r="E730" t="str">
        <f t="shared" si="22"/>
        <v>2024-03</v>
      </c>
      <c r="F730" t="str">
        <f t="shared" si="23"/>
        <v>Fri</v>
      </c>
    </row>
    <row r="731" spans="1:6" x14ac:dyDescent="0.3">
      <c r="A731" s="1">
        <v>45381</v>
      </c>
      <c r="B731" t="s">
        <v>16</v>
      </c>
      <c r="C731">
        <v>25</v>
      </c>
      <c r="D731">
        <v>619000</v>
      </c>
      <c r="E731" t="str">
        <f t="shared" si="22"/>
        <v>2024-03</v>
      </c>
      <c r="F731" t="str">
        <f t="shared" si="23"/>
        <v>Sat</v>
      </c>
    </row>
    <row r="732" spans="1:6" x14ac:dyDescent="0.3">
      <c r="A732" s="1">
        <v>45382</v>
      </c>
      <c r="B732" t="s">
        <v>16</v>
      </c>
      <c r="C732">
        <v>25</v>
      </c>
      <c r="D732">
        <v>641000</v>
      </c>
      <c r="E732" t="str">
        <f t="shared" si="22"/>
        <v>2024-03</v>
      </c>
      <c r="F732" t="str">
        <f t="shared" si="23"/>
        <v>Sun</v>
      </c>
    </row>
    <row r="733" spans="1:6" x14ac:dyDescent="0.3">
      <c r="A733" s="1">
        <v>45383</v>
      </c>
      <c r="B733" t="s">
        <v>16</v>
      </c>
      <c r="C733">
        <v>35</v>
      </c>
      <c r="D733">
        <v>874000</v>
      </c>
      <c r="E733" t="str">
        <f t="shared" si="22"/>
        <v>2024-04</v>
      </c>
      <c r="F733" t="str">
        <f t="shared" si="23"/>
        <v>Mon</v>
      </c>
    </row>
    <row r="734" spans="1:6" x14ac:dyDescent="0.3">
      <c r="A734" s="1">
        <v>45384</v>
      </c>
      <c r="B734" t="s">
        <v>16</v>
      </c>
      <c r="C734">
        <v>30</v>
      </c>
      <c r="D734">
        <v>847000</v>
      </c>
      <c r="E734" t="str">
        <f t="shared" si="22"/>
        <v>2024-04</v>
      </c>
      <c r="F734" t="str">
        <f t="shared" si="23"/>
        <v>Tue</v>
      </c>
    </row>
    <row r="735" spans="1:6" x14ac:dyDescent="0.3">
      <c r="A735" s="1">
        <v>45385</v>
      </c>
      <c r="B735" t="s">
        <v>16</v>
      </c>
      <c r="C735">
        <v>32</v>
      </c>
      <c r="D735">
        <v>835000</v>
      </c>
      <c r="E735" t="str">
        <f t="shared" si="22"/>
        <v>2024-04</v>
      </c>
      <c r="F735" t="str">
        <f t="shared" si="23"/>
        <v>Wed</v>
      </c>
    </row>
    <row r="736" spans="1:6" x14ac:dyDescent="0.3">
      <c r="A736" s="1">
        <v>45386</v>
      </c>
      <c r="B736" t="s">
        <v>16</v>
      </c>
      <c r="C736">
        <v>30</v>
      </c>
      <c r="D736">
        <v>937000</v>
      </c>
      <c r="E736" t="str">
        <f t="shared" si="22"/>
        <v>2024-04</v>
      </c>
      <c r="F736" t="str">
        <f t="shared" si="23"/>
        <v>Thu</v>
      </c>
    </row>
    <row r="737" spans="1:6" x14ac:dyDescent="0.3">
      <c r="A737" s="1">
        <v>45387</v>
      </c>
      <c r="B737" t="s">
        <v>16</v>
      </c>
      <c r="C737">
        <v>24</v>
      </c>
      <c r="D737">
        <v>683000</v>
      </c>
      <c r="E737" t="str">
        <f t="shared" si="22"/>
        <v>2024-04</v>
      </c>
      <c r="F737" t="str">
        <f t="shared" si="23"/>
        <v>Fri</v>
      </c>
    </row>
    <row r="738" spans="1:6" x14ac:dyDescent="0.3">
      <c r="A738" s="1">
        <v>45388</v>
      </c>
      <c r="B738" t="s">
        <v>16</v>
      </c>
      <c r="C738">
        <v>21</v>
      </c>
      <c r="D738">
        <v>589000</v>
      </c>
      <c r="E738" t="str">
        <f t="shared" si="22"/>
        <v>2024-04</v>
      </c>
      <c r="F738" t="str">
        <f t="shared" si="23"/>
        <v>Sat</v>
      </c>
    </row>
    <row r="739" spans="1:6" x14ac:dyDescent="0.3">
      <c r="A739" s="1">
        <v>45389</v>
      </c>
      <c r="B739" t="s">
        <v>16</v>
      </c>
      <c r="C739">
        <v>19</v>
      </c>
      <c r="D739">
        <v>599000</v>
      </c>
      <c r="E739" t="str">
        <f t="shared" si="22"/>
        <v>2024-04</v>
      </c>
      <c r="F739" t="str">
        <f t="shared" si="23"/>
        <v>Sun</v>
      </c>
    </row>
    <row r="740" spans="1:6" x14ac:dyDescent="0.3">
      <c r="A740" s="1">
        <v>45390</v>
      </c>
      <c r="B740" t="s">
        <v>16</v>
      </c>
      <c r="C740">
        <v>26</v>
      </c>
      <c r="D740">
        <v>748000</v>
      </c>
      <c r="E740" t="str">
        <f t="shared" si="22"/>
        <v>2024-04</v>
      </c>
      <c r="F740" t="str">
        <f t="shared" si="23"/>
        <v>Mon</v>
      </c>
    </row>
    <row r="741" spans="1:6" x14ac:dyDescent="0.3">
      <c r="A741" s="1">
        <v>45391</v>
      </c>
      <c r="B741" t="s">
        <v>16</v>
      </c>
      <c r="C741">
        <v>32</v>
      </c>
      <c r="D741">
        <v>884000</v>
      </c>
      <c r="E741" t="str">
        <f t="shared" si="22"/>
        <v>2024-04</v>
      </c>
      <c r="F741" t="str">
        <f t="shared" si="23"/>
        <v>Tue</v>
      </c>
    </row>
    <row r="742" spans="1:6" x14ac:dyDescent="0.3">
      <c r="A742" s="1">
        <v>45392</v>
      </c>
      <c r="B742" t="s">
        <v>16</v>
      </c>
      <c r="C742">
        <v>14</v>
      </c>
      <c r="D742">
        <v>364000</v>
      </c>
      <c r="E742" t="str">
        <f t="shared" si="22"/>
        <v>2024-04</v>
      </c>
      <c r="F742" t="str">
        <f t="shared" si="23"/>
        <v>Wed</v>
      </c>
    </row>
    <row r="743" spans="1:6" x14ac:dyDescent="0.3">
      <c r="A743" s="1">
        <v>45393</v>
      </c>
      <c r="B743" t="s">
        <v>16</v>
      </c>
      <c r="C743">
        <v>16</v>
      </c>
      <c r="D743">
        <v>417000</v>
      </c>
      <c r="E743" t="str">
        <f t="shared" si="22"/>
        <v>2024-04</v>
      </c>
      <c r="F743" t="str">
        <f t="shared" si="23"/>
        <v>Thu</v>
      </c>
    </row>
    <row r="744" spans="1:6" x14ac:dyDescent="0.3">
      <c r="A744" s="1">
        <v>45394</v>
      </c>
      <c r="B744" t="s">
        <v>16</v>
      </c>
      <c r="C744">
        <v>14</v>
      </c>
      <c r="D744">
        <v>382000</v>
      </c>
      <c r="E744" t="str">
        <f t="shared" si="22"/>
        <v>2024-04</v>
      </c>
      <c r="F744" t="str">
        <f t="shared" si="23"/>
        <v>Fri</v>
      </c>
    </row>
    <row r="745" spans="1:6" x14ac:dyDescent="0.3">
      <c r="A745" s="1">
        <v>45395</v>
      </c>
      <c r="B745" t="s">
        <v>16</v>
      </c>
      <c r="C745">
        <v>10</v>
      </c>
      <c r="D745">
        <v>286000</v>
      </c>
      <c r="E745" t="str">
        <f t="shared" si="22"/>
        <v>2024-04</v>
      </c>
      <c r="F745" t="str">
        <f t="shared" si="23"/>
        <v>Sat</v>
      </c>
    </row>
    <row r="746" spans="1:6" x14ac:dyDescent="0.3">
      <c r="A746" s="1">
        <v>45396</v>
      </c>
      <c r="B746" t="s">
        <v>16</v>
      </c>
      <c r="C746">
        <v>12</v>
      </c>
      <c r="D746">
        <v>299000</v>
      </c>
      <c r="E746" t="str">
        <f t="shared" si="22"/>
        <v>2024-04</v>
      </c>
      <c r="F746" t="str">
        <f t="shared" si="23"/>
        <v>Sun</v>
      </c>
    </row>
    <row r="747" spans="1:6" x14ac:dyDescent="0.3">
      <c r="A747" s="1">
        <v>45397</v>
      </c>
      <c r="B747" t="s">
        <v>16</v>
      </c>
      <c r="C747">
        <v>30</v>
      </c>
      <c r="D747">
        <v>891000</v>
      </c>
      <c r="E747" t="str">
        <f t="shared" si="22"/>
        <v>2024-04</v>
      </c>
      <c r="F747" t="str">
        <f t="shared" si="23"/>
        <v>Mon</v>
      </c>
    </row>
    <row r="748" spans="1:6" x14ac:dyDescent="0.3">
      <c r="A748" s="1">
        <v>45398</v>
      </c>
      <c r="B748" t="s">
        <v>16</v>
      </c>
      <c r="C748">
        <v>30</v>
      </c>
      <c r="D748">
        <v>794000</v>
      </c>
      <c r="E748" t="str">
        <f t="shared" si="22"/>
        <v>2024-04</v>
      </c>
      <c r="F748" t="str">
        <f t="shared" si="23"/>
        <v>Tue</v>
      </c>
    </row>
    <row r="749" spans="1:6" x14ac:dyDescent="0.3">
      <c r="A749" s="1">
        <v>45399</v>
      </c>
      <c r="B749" t="s">
        <v>16</v>
      </c>
      <c r="C749">
        <v>25</v>
      </c>
      <c r="D749">
        <v>745000</v>
      </c>
      <c r="E749" t="str">
        <f t="shared" si="22"/>
        <v>2024-04</v>
      </c>
      <c r="F749" t="str">
        <f t="shared" si="23"/>
        <v>Wed</v>
      </c>
    </row>
    <row r="750" spans="1:6" x14ac:dyDescent="0.3">
      <c r="A750" s="1">
        <v>45400</v>
      </c>
      <c r="B750" t="s">
        <v>16</v>
      </c>
      <c r="C750">
        <v>41</v>
      </c>
      <c r="D750">
        <v>999000</v>
      </c>
      <c r="E750" t="str">
        <f t="shared" si="22"/>
        <v>2024-04</v>
      </c>
      <c r="F750" t="str">
        <f t="shared" si="23"/>
        <v>Thu</v>
      </c>
    </row>
    <row r="751" spans="1:6" x14ac:dyDescent="0.3">
      <c r="A751" s="1">
        <v>45401</v>
      </c>
      <c r="B751" t="s">
        <v>16</v>
      </c>
      <c r="C751">
        <v>27</v>
      </c>
      <c r="D751">
        <v>855000</v>
      </c>
      <c r="E751" t="str">
        <f t="shared" si="22"/>
        <v>2024-04</v>
      </c>
      <c r="F751" t="str">
        <f t="shared" si="23"/>
        <v>Fri</v>
      </c>
    </row>
    <row r="752" spans="1:6" x14ac:dyDescent="0.3">
      <c r="A752" s="1">
        <v>45402</v>
      </c>
      <c r="B752" t="s">
        <v>16</v>
      </c>
      <c r="C752">
        <v>20</v>
      </c>
      <c r="D752">
        <v>564000</v>
      </c>
      <c r="E752" t="str">
        <f t="shared" si="22"/>
        <v>2024-04</v>
      </c>
      <c r="F752" t="str">
        <f t="shared" si="23"/>
        <v>Sat</v>
      </c>
    </row>
    <row r="753" spans="1:6" x14ac:dyDescent="0.3">
      <c r="A753" s="1">
        <v>45403</v>
      </c>
      <c r="B753" t="s">
        <v>16</v>
      </c>
      <c r="C753">
        <v>21</v>
      </c>
      <c r="D753">
        <v>610000</v>
      </c>
      <c r="E753" t="str">
        <f t="shared" si="22"/>
        <v>2024-04</v>
      </c>
      <c r="F753" t="str">
        <f t="shared" si="23"/>
        <v>Sun</v>
      </c>
    </row>
    <row r="754" spans="1:6" x14ac:dyDescent="0.3">
      <c r="A754" s="1">
        <v>45404</v>
      </c>
      <c r="B754" t="s">
        <v>16</v>
      </c>
      <c r="C754">
        <v>29</v>
      </c>
      <c r="D754">
        <v>850000</v>
      </c>
      <c r="E754" t="str">
        <f t="shared" si="22"/>
        <v>2024-04</v>
      </c>
      <c r="F754" t="str">
        <f t="shared" si="23"/>
        <v>Mon</v>
      </c>
    </row>
    <row r="755" spans="1:6" x14ac:dyDescent="0.3">
      <c r="A755" s="1">
        <v>45405</v>
      </c>
      <c r="B755" t="s">
        <v>16</v>
      </c>
      <c r="C755">
        <v>33</v>
      </c>
      <c r="D755">
        <v>932000</v>
      </c>
      <c r="E755" t="str">
        <f t="shared" si="22"/>
        <v>2024-04</v>
      </c>
      <c r="F755" t="str">
        <f t="shared" si="23"/>
        <v>Tue</v>
      </c>
    </row>
    <row r="756" spans="1:6" x14ac:dyDescent="0.3">
      <c r="A756" s="1">
        <v>45406</v>
      </c>
      <c r="B756" t="s">
        <v>16</v>
      </c>
      <c r="C756">
        <v>32</v>
      </c>
      <c r="D756">
        <v>869000</v>
      </c>
      <c r="E756" t="str">
        <f t="shared" si="22"/>
        <v>2024-04</v>
      </c>
      <c r="F756" t="str">
        <f t="shared" si="23"/>
        <v>Wed</v>
      </c>
    </row>
    <row r="757" spans="1:6" x14ac:dyDescent="0.3">
      <c r="A757" s="1">
        <v>45407</v>
      </c>
      <c r="B757" t="s">
        <v>16</v>
      </c>
      <c r="C757">
        <v>28</v>
      </c>
      <c r="D757">
        <v>867000</v>
      </c>
      <c r="E757" t="str">
        <f t="shared" si="22"/>
        <v>2024-04</v>
      </c>
      <c r="F757" t="str">
        <f t="shared" si="23"/>
        <v>Thu</v>
      </c>
    </row>
    <row r="758" spans="1:6" x14ac:dyDescent="0.3">
      <c r="A758" s="1">
        <v>45408</v>
      </c>
      <c r="B758" t="s">
        <v>16</v>
      </c>
      <c r="C758">
        <v>29</v>
      </c>
      <c r="D758">
        <v>811000</v>
      </c>
      <c r="E758" t="str">
        <f t="shared" si="22"/>
        <v>2024-04</v>
      </c>
      <c r="F758" t="str">
        <f t="shared" si="23"/>
        <v>Fri</v>
      </c>
    </row>
    <row r="759" spans="1:6" x14ac:dyDescent="0.3">
      <c r="A759" s="1">
        <v>45409</v>
      </c>
      <c r="B759" t="s">
        <v>16</v>
      </c>
      <c r="C759">
        <v>24</v>
      </c>
      <c r="D759">
        <v>630000</v>
      </c>
      <c r="E759" t="str">
        <f t="shared" si="22"/>
        <v>2024-04</v>
      </c>
      <c r="F759" t="str">
        <f t="shared" si="23"/>
        <v>Sat</v>
      </c>
    </row>
    <row r="760" spans="1:6" x14ac:dyDescent="0.3">
      <c r="A760" s="1">
        <v>45410</v>
      </c>
      <c r="B760" t="s">
        <v>16</v>
      </c>
      <c r="C760">
        <v>19</v>
      </c>
      <c r="D760">
        <v>548000</v>
      </c>
      <c r="E760" t="str">
        <f t="shared" si="22"/>
        <v>2024-04</v>
      </c>
      <c r="F760" t="str">
        <f t="shared" si="23"/>
        <v>Sun</v>
      </c>
    </row>
    <row r="761" spans="1:6" x14ac:dyDescent="0.3">
      <c r="A761" s="1">
        <v>45411</v>
      </c>
      <c r="B761" t="s">
        <v>16</v>
      </c>
      <c r="C761">
        <v>39</v>
      </c>
      <c r="D761">
        <v>921000</v>
      </c>
      <c r="E761" t="str">
        <f t="shared" si="22"/>
        <v>2024-04</v>
      </c>
      <c r="F761" t="str">
        <f t="shared" si="23"/>
        <v>Mon</v>
      </c>
    </row>
    <row r="762" spans="1:6" x14ac:dyDescent="0.3">
      <c r="A762" s="1">
        <v>45412</v>
      </c>
      <c r="B762" t="s">
        <v>16</v>
      </c>
      <c r="C762">
        <v>31</v>
      </c>
      <c r="D762">
        <v>988000</v>
      </c>
      <c r="E762" t="str">
        <f t="shared" si="22"/>
        <v>2024-04</v>
      </c>
      <c r="F762" t="str">
        <f t="shared" si="23"/>
        <v>Tue</v>
      </c>
    </row>
    <row r="763" spans="1:6" x14ac:dyDescent="0.3">
      <c r="A763" s="1">
        <v>45413</v>
      </c>
      <c r="B763" t="s">
        <v>16</v>
      </c>
      <c r="C763">
        <v>27</v>
      </c>
      <c r="D763">
        <v>750000</v>
      </c>
      <c r="E763" t="str">
        <f t="shared" si="22"/>
        <v>2024-05</v>
      </c>
      <c r="F763" t="str">
        <f t="shared" si="23"/>
        <v>Wed</v>
      </c>
    </row>
    <row r="764" spans="1:6" x14ac:dyDescent="0.3">
      <c r="A764" s="1">
        <v>45414</v>
      </c>
      <c r="B764" t="s">
        <v>16</v>
      </c>
      <c r="C764">
        <v>24</v>
      </c>
      <c r="D764">
        <v>677000</v>
      </c>
      <c r="E764" t="str">
        <f t="shared" si="22"/>
        <v>2024-05</v>
      </c>
      <c r="F764" t="str">
        <f t="shared" si="23"/>
        <v>Thu</v>
      </c>
    </row>
    <row r="765" spans="1:6" x14ac:dyDescent="0.3">
      <c r="A765" s="1">
        <v>45415</v>
      </c>
      <c r="B765" t="s">
        <v>16</v>
      </c>
      <c r="C765">
        <v>27</v>
      </c>
      <c r="D765">
        <v>919000</v>
      </c>
      <c r="E765" t="str">
        <f t="shared" si="22"/>
        <v>2024-05</v>
      </c>
      <c r="F765" t="str">
        <f t="shared" si="23"/>
        <v>Fri</v>
      </c>
    </row>
    <row r="766" spans="1:6" x14ac:dyDescent="0.3">
      <c r="A766" s="1">
        <v>45416</v>
      </c>
      <c r="B766" t="s">
        <v>16</v>
      </c>
      <c r="C766">
        <v>22</v>
      </c>
      <c r="D766">
        <v>746000</v>
      </c>
      <c r="E766" t="str">
        <f t="shared" si="22"/>
        <v>2024-05</v>
      </c>
      <c r="F766" t="str">
        <f t="shared" si="23"/>
        <v>Sat</v>
      </c>
    </row>
    <row r="767" spans="1:6" x14ac:dyDescent="0.3">
      <c r="A767" s="1">
        <v>45417</v>
      </c>
      <c r="B767" t="s">
        <v>16</v>
      </c>
      <c r="C767">
        <v>20</v>
      </c>
      <c r="D767">
        <v>552000</v>
      </c>
      <c r="E767" t="str">
        <f t="shared" si="22"/>
        <v>2024-05</v>
      </c>
      <c r="F767" t="str">
        <f t="shared" si="23"/>
        <v>Sun</v>
      </c>
    </row>
    <row r="768" spans="1:6" x14ac:dyDescent="0.3">
      <c r="A768" s="1">
        <v>45418</v>
      </c>
      <c r="B768" t="s">
        <v>16</v>
      </c>
      <c r="C768">
        <v>26</v>
      </c>
      <c r="D768">
        <v>774000</v>
      </c>
      <c r="E768" t="str">
        <f t="shared" si="22"/>
        <v>2024-05</v>
      </c>
      <c r="F768" t="str">
        <f t="shared" si="23"/>
        <v>Mon</v>
      </c>
    </row>
    <row r="769" spans="1:6" x14ac:dyDescent="0.3">
      <c r="A769" s="1">
        <v>45419</v>
      </c>
      <c r="B769" t="s">
        <v>16</v>
      </c>
      <c r="C769">
        <v>30</v>
      </c>
      <c r="D769">
        <v>919000</v>
      </c>
      <c r="E769" t="str">
        <f t="shared" si="22"/>
        <v>2024-05</v>
      </c>
      <c r="F769" t="str">
        <f t="shared" si="23"/>
        <v>Tue</v>
      </c>
    </row>
    <row r="770" spans="1:6" x14ac:dyDescent="0.3">
      <c r="A770" s="1">
        <v>45420</v>
      </c>
      <c r="B770" t="s">
        <v>16</v>
      </c>
      <c r="C770">
        <v>25</v>
      </c>
      <c r="D770">
        <v>807000</v>
      </c>
      <c r="E770" t="str">
        <f t="shared" ref="E770:E833" si="24">TEXT(A770,"yyyy-mm")</f>
        <v>2024-05</v>
      </c>
      <c r="F770" t="str">
        <f t="shared" ref="F770:F833" si="25">TEXT(A770,"ddd")</f>
        <v>Wed</v>
      </c>
    </row>
    <row r="771" spans="1:6" x14ac:dyDescent="0.3">
      <c r="A771" s="1">
        <v>45421</v>
      </c>
      <c r="B771" t="s">
        <v>16</v>
      </c>
      <c r="C771">
        <v>30</v>
      </c>
      <c r="D771">
        <v>834000</v>
      </c>
      <c r="E771" t="str">
        <f t="shared" si="24"/>
        <v>2024-05</v>
      </c>
      <c r="F771" t="str">
        <f t="shared" si="25"/>
        <v>Thu</v>
      </c>
    </row>
    <row r="772" spans="1:6" x14ac:dyDescent="0.3">
      <c r="A772" s="1">
        <v>45422</v>
      </c>
      <c r="B772" t="s">
        <v>16</v>
      </c>
      <c r="C772">
        <v>30</v>
      </c>
      <c r="D772">
        <v>847000</v>
      </c>
      <c r="E772" t="str">
        <f t="shared" si="24"/>
        <v>2024-05</v>
      </c>
      <c r="F772" t="str">
        <f t="shared" si="25"/>
        <v>Fri</v>
      </c>
    </row>
    <row r="773" spans="1:6" x14ac:dyDescent="0.3">
      <c r="A773" s="1">
        <v>45423</v>
      </c>
      <c r="B773" t="s">
        <v>16</v>
      </c>
      <c r="C773">
        <v>21</v>
      </c>
      <c r="D773">
        <v>638000</v>
      </c>
      <c r="E773" t="str">
        <f t="shared" si="24"/>
        <v>2024-05</v>
      </c>
      <c r="F773" t="str">
        <f t="shared" si="25"/>
        <v>Sat</v>
      </c>
    </row>
    <row r="774" spans="1:6" x14ac:dyDescent="0.3">
      <c r="A774" s="1">
        <v>45424</v>
      </c>
      <c r="B774" t="s">
        <v>16</v>
      </c>
      <c r="C774">
        <v>20</v>
      </c>
      <c r="D774">
        <v>587000</v>
      </c>
      <c r="E774" t="str">
        <f t="shared" si="24"/>
        <v>2024-05</v>
      </c>
      <c r="F774" t="str">
        <f t="shared" si="25"/>
        <v>Sun</v>
      </c>
    </row>
    <row r="775" spans="1:6" x14ac:dyDescent="0.3">
      <c r="A775" s="1">
        <v>45425</v>
      </c>
      <c r="B775" t="s">
        <v>16</v>
      </c>
      <c r="C775">
        <v>30</v>
      </c>
      <c r="D775">
        <v>898000</v>
      </c>
      <c r="E775" t="str">
        <f t="shared" si="24"/>
        <v>2024-05</v>
      </c>
      <c r="F775" t="str">
        <f t="shared" si="25"/>
        <v>Mon</v>
      </c>
    </row>
    <row r="776" spans="1:6" x14ac:dyDescent="0.3">
      <c r="A776" s="1">
        <v>45426</v>
      </c>
      <c r="B776" t="s">
        <v>16</v>
      </c>
      <c r="C776">
        <v>29</v>
      </c>
      <c r="D776">
        <v>862000</v>
      </c>
      <c r="E776" t="str">
        <f t="shared" si="24"/>
        <v>2024-05</v>
      </c>
      <c r="F776" t="str">
        <f t="shared" si="25"/>
        <v>Tue</v>
      </c>
    </row>
    <row r="777" spans="1:6" x14ac:dyDescent="0.3">
      <c r="A777" s="1">
        <v>45427</v>
      </c>
      <c r="B777" t="s">
        <v>16</v>
      </c>
      <c r="C777">
        <v>32</v>
      </c>
      <c r="D777">
        <v>810000</v>
      </c>
      <c r="E777" t="str">
        <f t="shared" si="24"/>
        <v>2024-05</v>
      </c>
      <c r="F777" t="str">
        <f t="shared" si="25"/>
        <v>Wed</v>
      </c>
    </row>
    <row r="778" spans="1:6" x14ac:dyDescent="0.3">
      <c r="A778" s="1">
        <v>45428</v>
      </c>
      <c r="B778" t="s">
        <v>16</v>
      </c>
      <c r="C778">
        <v>33</v>
      </c>
      <c r="D778">
        <v>852000</v>
      </c>
      <c r="E778" t="str">
        <f t="shared" si="24"/>
        <v>2024-05</v>
      </c>
      <c r="F778" t="str">
        <f t="shared" si="25"/>
        <v>Thu</v>
      </c>
    </row>
    <row r="779" spans="1:6" x14ac:dyDescent="0.3">
      <c r="A779" s="1">
        <v>45429</v>
      </c>
      <c r="B779" t="s">
        <v>16</v>
      </c>
      <c r="C779">
        <v>38</v>
      </c>
      <c r="D779">
        <v>803000</v>
      </c>
      <c r="E779" t="str">
        <f t="shared" si="24"/>
        <v>2024-05</v>
      </c>
      <c r="F779" t="str">
        <f t="shared" si="25"/>
        <v>Fri</v>
      </c>
    </row>
    <row r="780" spans="1:6" x14ac:dyDescent="0.3">
      <c r="A780" s="1">
        <v>45430</v>
      </c>
      <c r="B780" t="s">
        <v>16</v>
      </c>
      <c r="C780">
        <v>22</v>
      </c>
      <c r="D780">
        <v>612000</v>
      </c>
      <c r="E780" t="str">
        <f t="shared" si="24"/>
        <v>2024-05</v>
      </c>
      <c r="F780" t="str">
        <f t="shared" si="25"/>
        <v>Sat</v>
      </c>
    </row>
    <row r="781" spans="1:6" x14ac:dyDescent="0.3">
      <c r="A781" s="1">
        <v>45431</v>
      </c>
      <c r="B781" t="s">
        <v>16</v>
      </c>
      <c r="C781">
        <v>18</v>
      </c>
      <c r="D781">
        <v>550000</v>
      </c>
      <c r="E781" t="str">
        <f t="shared" si="24"/>
        <v>2024-05</v>
      </c>
      <c r="F781" t="str">
        <f t="shared" si="25"/>
        <v>Sun</v>
      </c>
    </row>
    <row r="782" spans="1:6" x14ac:dyDescent="0.3">
      <c r="A782" s="1">
        <v>45432</v>
      </c>
      <c r="B782" t="s">
        <v>16</v>
      </c>
      <c r="C782">
        <v>31</v>
      </c>
      <c r="D782">
        <v>793000</v>
      </c>
      <c r="E782" t="str">
        <f t="shared" si="24"/>
        <v>2024-05</v>
      </c>
      <c r="F782" t="str">
        <f t="shared" si="25"/>
        <v>Mon</v>
      </c>
    </row>
    <row r="783" spans="1:6" x14ac:dyDescent="0.3">
      <c r="A783" s="1">
        <v>45433</v>
      </c>
      <c r="B783" t="s">
        <v>16</v>
      </c>
      <c r="C783">
        <v>32</v>
      </c>
      <c r="D783">
        <v>995000</v>
      </c>
      <c r="E783" t="str">
        <f t="shared" si="24"/>
        <v>2024-05</v>
      </c>
      <c r="F783" t="str">
        <f t="shared" si="25"/>
        <v>Tue</v>
      </c>
    </row>
    <row r="784" spans="1:6" x14ac:dyDescent="0.3">
      <c r="A784" s="1">
        <v>45434</v>
      </c>
      <c r="B784" t="s">
        <v>16</v>
      </c>
      <c r="C784">
        <v>29</v>
      </c>
      <c r="D784">
        <v>876000</v>
      </c>
      <c r="E784" t="str">
        <f t="shared" si="24"/>
        <v>2024-05</v>
      </c>
      <c r="F784" t="str">
        <f t="shared" si="25"/>
        <v>Wed</v>
      </c>
    </row>
    <row r="785" spans="1:6" x14ac:dyDescent="0.3">
      <c r="A785" s="1">
        <v>45435</v>
      </c>
      <c r="B785" t="s">
        <v>16</v>
      </c>
      <c r="C785">
        <v>31</v>
      </c>
      <c r="D785">
        <v>877000</v>
      </c>
      <c r="E785" t="str">
        <f t="shared" si="24"/>
        <v>2024-05</v>
      </c>
      <c r="F785" t="str">
        <f t="shared" si="25"/>
        <v>Thu</v>
      </c>
    </row>
    <row r="786" spans="1:6" x14ac:dyDescent="0.3">
      <c r="A786" s="1">
        <v>45436</v>
      </c>
      <c r="B786" t="s">
        <v>16</v>
      </c>
      <c r="C786">
        <v>33</v>
      </c>
      <c r="D786">
        <v>922000</v>
      </c>
      <c r="E786" t="str">
        <f t="shared" si="24"/>
        <v>2024-05</v>
      </c>
      <c r="F786" t="str">
        <f t="shared" si="25"/>
        <v>Fri</v>
      </c>
    </row>
    <row r="787" spans="1:6" x14ac:dyDescent="0.3">
      <c r="A787" s="1">
        <v>45437</v>
      </c>
      <c r="B787" t="s">
        <v>16</v>
      </c>
      <c r="C787">
        <v>21</v>
      </c>
      <c r="D787">
        <v>591000</v>
      </c>
      <c r="E787" t="str">
        <f t="shared" si="24"/>
        <v>2024-05</v>
      </c>
      <c r="F787" t="str">
        <f t="shared" si="25"/>
        <v>Sat</v>
      </c>
    </row>
    <row r="788" spans="1:6" x14ac:dyDescent="0.3">
      <c r="A788" s="1">
        <v>45438</v>
      </c>
      <c r="B788" t="s">
        <v>16</v>
      </c>
      <c r="C788">
        <v>23</v>
      </c>
      <c r="D788">
        <v>602000</v>
      </c>
      <c r="E788" t="str">
        <f t="shared" si="24"/>
        <v>2024-05</v>
      </c>
      <c r="F788" t="str">
        <f t="shared" si="25"/>
        <v>Sun</v>
      </c>
    </row>
    <row r="789" spans="1:6" x14ac:dyDescent="0.3">
      <c r="A789" s="1">
        <v>45439</v>
      </c>
      <c r="B789" t="s">
        <v>16</v>
      </c>
      <c r="C789">
        <v>34</v>
      </c>
      <c r="D789">
        <v>917000</v>
      </c>
      <c r="E789" t="str">
        <f t="shared" si="24"/>
        <v>2024-05</v>
      </c>
      <c r="F789" t="str">
        <f t="shared" si="25"/>
        <v>Mon</v>
      </c>
    </row>
    <row r="790" spans="1:6" x14ac:dyDescent="0.3">
      <c r="A790" s="1">
        <v>45440</v>
      </c>
      <c r="B790" t="s">
        <v>16</v>
      </c>
      <c r="C790">
        <v>32</v>
      </c>
      <c r="D790">
        <v>906000</v>
      </c>
      <c r="E790" t="str">
        <f t="shared" si="24"/>
        <v>2024-05</v>
      </c>
      <c r="F790" t="str">
        <f t="shared" si="25"/>
        <v>Tue</v>
      </c>
    </row>
    <row r="791" spans="1:6" x14ac:dyDescent="0.3">
      <c r="A791" s="1">
        <v>45441</v>
      </c>
      <c r="B791" t="s">
        <v>16</v>
      </c>
      <c r="C791">
        <v>27</v>
      </c>
      <c r="D791">
        <v>792000</v>
      </c>
      <c r="E791" t="str">
        <f t="shared" si="24"/>
        <v>2024-05</v>
      </c>
      <c r="F791" t="str">
        <f t="shared" si="25"/>
        <v>Wed</v>
      </c>
    </row>
    <row r="792" spans="1:6" x14ac:dyDescent="0.3">
      <c r="A792" s="1">
        <v>45442</v>
      </c>
      <c r="B792" t="s">
        <v>16</v>
      </c>
      <c r="C792">
        <v>32</v>
      </c>
      <c r="D792">
        <v>951000</v>
      </c>
      <c r="E792" t="str">
        <f t="shared" si="24"/>
        <v>2024-05</v>
      </c>
      <c r="F792" t="str">
        <f t="shared" si="25"/>
        <v>Thu</v>
      </c>
    </row>
    <row r="793" spans="1:6" x14ac:dyDescent="0.3">
      <c r="A793" s="1">
        <v>45443</v>
      </c>
      <c r="B793" t="s">
        <v>16</v>
      </c>
      <c r="C793">
        <v>32</v>
      </c>
      <c r="D793">
        <v>838000</v>
      </c>
      <c r="E793" t="str">
        <f t="shared" si="24"/>
        <v>2024-05</v>
      </c>
      <c r="F793" t="str">
        <f t="shared" si="25"/>
        <v>Fri</v>
      </c>
    </row>
    <row r="794" spans="1:6" x14ac:dyDescent="0.3">
      <c r="A794" s="1">
        <v>45444</v>
      </c>
      <c r="B794" t="s">
        <v>16</v>
      </c>
      <c r="C794">
        <v>19</v>
      </c>
      <c r="D794">
        <v>558000</v>
      </c>
      <c r="E794" t="str">
        <f t="shared" si="24"/>
        <v>2024-06</v>
      </c>
      <c r="F794" t="str">
        <f t="shared" si="25"/>
        <v>Sat</v>
      </c>
    </row>
    <row r="795" spans="1:6" x14ac:dyDescent="0.3">
      <c r="A795" s="1">
        <v>45445</v>
      </c>
      <c r="B795" t="s">
        <v>16</v>
      </c>
      <c r="C795">
        <v>22</v>
      </c>
      <c r="D795">
        <v>567000</v>
      </c>
      <c r="E795" t="str">
        <f t="shared" si="24"/>
        <v>2024-06</v>
      </c>
      <c r="F795" t="str">
        <f t="shared" si="25"/>
        <v>Sun</v>
      </c>
    </row>
    <row r="796" spans="1:6" x14ac:dyDescent="0.3">
      <c r="A796" s="1">
        <v>45446</v>
      </c>
      <c r="B796" t="s">
        <v>16</v>
      </c>
      <c r="C796">
        <v>31</v>
      </c>
      <c r="D796">
        <v>856000</v>
      </c>
      <c r="E796" t="str">
        <f t="shared" si="24"/>
        <v>2024-06</v>
      </c>
      <c r="F796" t="str">
        <f t="shared" si="25"/>
        <v>Mon</v>
      </c>
    </row>
    <row r="797" spans="1:6" x14ac:dyDescent="0.3">
      <c r="A797" s="1">
        <v>45447</v>
      </c>
      <c r="B797" t="s">
        <v>16</v>
      </c>
      <c r="C797">
        <v>35</v>
      </c>
      <c r="D797">
        <v>1017000</v>
      </c>
      <c r="E797" t="str">
        <f t="shared" si="24"/>
        <v>2024-06</v>
      </c>
      <c r="F797" t="str">
        <f t="shared" si="25"/>
        <v>Tue</v>
      </c>
    </row>
    <row r="798" spans="1:6" x14ac:dyDescent="0.3">
      <c r="A798" s="1">
        <v>45448</v>
      </c>
      <c r="B798" t="s">
        <v>16</v>
      </c>
      <c r="C798">
        <v>28</v>
      </c>
      <c r="D798">
        <v>794000</v>
      </c>
      <c r="E798" t="str">
        <f t="shared" si="24"/>
        <v>2024-06</v>
      </c>
      <c r="F798" t="str">
        <f t="shared" si="25"/>
        <v>Wed</v>
      </c>
    </row>
    <row r="799" spans="1:6" x14ac:dyDescent="0.3">
      <c r="A799" s="1">
        <v>45449</v>
      </c>
      <c r="B799" t="s">
        <v>16</v>
      </c>
      <c r="C799">
        <v>33</v>
      </c>
      <c r="D799">
        <v>901000</v>
      </c>
      <c r="E799" t="str">
        <f t="shared" si="24"/>
        <v>2024-06</v>
      </c>
      <c r="F799" t="str">
        <f t="shared" si="25"/>
        <v>Thu</v>
      </c>
    </row>
    <row r="800" spans="1:6" x14ac:dyDescent="0.3">
      <c r="A800" s="1">
        <v>45450</v>
      </c>
      <c r="B800" t="s">
        <v>16</v>
      </c>
      <c r="C800">
        <v>25</v>
      </c>
      <c r="D800">
        <v>718000</v>
      </c>
      <c r="E800" t="str">
        <f t="shared" si="24"/>
        <v>2024-06</v>
      </c>
      <c r="F800" t="str">
        <f t="shared" si="25"/>
        <v>Fri</v>
      </c>
    </row>
    <row r="801" spans="1:6" x14ac:dyDescent="0.3">
      <c r="A801" s="1">
        <v>45451</v>
      </c>
      <c r="B801" t="s">
        <v>16</v>
      </c>
      <c r="C801">
        <v>23</v>
      </c>
      <c r="D801">
        <v>619000</v>
      </c>
      <c r="E801" t="str">
        <f t="shared" si="24"/>
        <v>2024-06</v>
      </c>
      <c r="F801" t="str">
        <f t="shared" si="25"/>
        <v>Sat</v>
      </c>
    </row>
    <row r="802" spans="1:6" x14ac:dyDescent="0.3">
      <c r="A802" s="1">
        <v>45452</v>
      </c>
      <c r="B802" t="s">
        <v>16</v>
      </c>
      <c r="C802">
        <v>25</v>
      </c>
      <c r="D802">
        <v>670000</v>
      </c>
      <c r="E802" t="str">
        <f t="shared" si="24"/>
        <v>2024-06</v>
      </c>
      <c r="F802" t="str">
        <f t="shared" si="25"/>
        <v>Sun</v>
      </c>
    </row>
    <row r="803" spans="1:6" x14ac:dyDescent="0.3">
      <c r="A803" s="1">
        <v>45453</v>
      </c>
      <c r="B803" t="s">
        <v>16</v>
      </c>
      <c r="C803">
        <v>32</v>
      </c>
      <c r="D803">
        <v>871000</v>
      </c>
      <c r="E803" t="str">
        <f t="shared" si="24"/>
        <v>2024-06</v>
      </c>
      <c r="F803" t="str">
        <f t="shared" si="25"/>
        <v>Mon</v>
      </c>
    </row>
    <row r="804" spans="1:6" x14ac:dyDescent="0.3">
      <c r="A804" s="1">
        <v>45454</v>
      </c>
      <c r="B804" t="s">
        <v>16</v>
      </c>
      <c r="C804">
        <v>28</v>
      </c>
      <c r="D804">
        <v>840000</v>
      </c>
      <c r="E804" t="str">
        <f t="shared" si="24"/>
        <v>2024-06</v>
      </c>
      <c r="F804" t="str">
        <f t="shared" si="25"/>
        <v>Tue</v>
      </c>
    </row>
    <row r="805" spans="1:6" x14ac:dyDescent="0.3">
      <c r="A805" s="1">
        <v>45455</v>
      </c>
      <c r="B805" t="s">
        <v>16</v>
      </c>
      <c r="C805">
        <v>33</v>
      </c>
      <c r="D805">
        <v>910000</v>
      </c>
      <c r="E805" t="str">
        <f t="shared" si="24"/>
        <v>2024-06</v>
      </c>
      <c r="F805" t="str">
        <f t="shared" si="25"/>
        <v>Wed</v>
      </c>
    </row>
    <row r="806" spans="1:6" x14ac:dyDescent="0.3">
      <c r="A806" s="1">
        <v>45456</v>
      </c>
      <c r="B806" t="s">
        <v>16</v>
      </c>
      <c r="C806">
        <v>29</v>
      </c>
      <c r="D806">
        <v>948000</v>
      </c>
      <c r="E806" t="str">
        <f t="shared" si="24"/>
        <v>2024-06</v>
      </c>
      <c r="F806" t="str">
        <f t="shared" si="25"/>
        <v>Thu</v>
      </c>
    </row>
    <row r="807" spans="1:6" x14ac:dyDescent="0.3">
      <c r="A807" s="1">
        <v>45457</v>
      </c>
      <c r="B807" t="s">
        <v>16</v>
      </c>
      <c r="C807">
        <v>33</v>
      </c>
      <c r="D807">
        <v>946000</v>
      </c>
      <c r="E807" t="str">
        <f t="shared" si="24"/>
        <v>2024-06</v>
      </c>
      <c r="F807" t="str">
        <f t="shared" si="25"/>
        <v>Fri</v>
      </c>
    </row>
    <row r="808" spans="1:6" x14ac:dyDescent="0.3">
      <c r="A808" s="1">
        <v>45458</v>
      </c>
      <c r="B808" t="s">
        <v>16</v>
      </c>
      <c r="C808">
        <v>36</v>
      </c>
      <c r="D808">
        <v>732000</v>
      </c>
      <c r="E808" t="str">
        <f t="shared" si="24"/>
        <v>2024-06</v>
      </c>
      <c r="F808" t="str">
        <f t="shared" si="25"/>
        <v>Sat</v>
      </c>
    </row>
    <row r="809" spans="1:6" x14ac:dyDescent="0.3">
      <c r="A809" s="1">
        <v>45459</v>
      </c>
      <c r="B809" t="s">
        <v>16</v>
      </c>
      <c r="C809">
        <v>24</v>
      </c>
      <c r="D809">
        <v>634000</v>
      </c>
      <c r="E809" t="str">
        <f t="shared" si="24"/>
        <v>2024-06</v>
      </c>
      <c r="F809" t="str">
        <f t="shared" si="25"/>
        <v>Sun</v>
      </c>
    </row>
    <row r="810" spans="1:6" x14ac:dyDescent="0.3">
      <c r="A810" s="1">
        <v>45460</v>
      </c>
      <c r="B810" t="s">
        <v>16</v>
      </c>
      <c r="C810">
        <v>26</v>
      </c>
      <c r="D810">
        <v>846000</v>
      </c>
      <c r="E810" t="str">
        <f t="shared" si="24"/>
        <v>2024-06</v>
      </c>
      <c r="F810" t="str">
        <f t="shared" si="25"/>
        <v>Mon</v>
      </c>
    </row>
    <row r="811" spans="1:6" x14ac:dyDescent="0.3">
      <c r="A811" s="1">
        <v>45461</v>
      </c>
      <c r="B811" t="s">
        <v>16</v>
      </c>
      <c r="C811">
        <v>32</v>
      </c>
      <c r="D811">
        <v>884000</v>
      </c>
      <c r="E811" t="str">
        <f t="shared" si="24"/>
        <v>2024-06</v>
      </c>
      <c r="F811" t="str">
        <f t="shared" si="25"/>
        <v>Tue</v>
      </c>
    </row>
    <row r="812" spans="1:6" x14ac:dyDescent="0.3">
      <c r="A812" s="1">
        <v>45462</v>
      </c>
      <c r="B812" t="s">
        <v>16</v>
      </c>
      <c r="C812">
        <v>33</v>
      </c>
      <c r="D812">
        <v>889000</v>
      </c>
      <c r="E812" t="str">
        <f t="shared" si="24"/>
        <v>2024-06</v>
      </c>
      <c r="F812" t="str">
        <f t="shared" si="25"/>
        <v>Wed</v>
      </c>
    </row>
    <row r="813" spans="1:6" x14ac:dyDescent="0.3">
      <c r="A813" s="1">
        <v>45463</v>
      </c>
      <c r="B813" t="s">
        <v>16</v>
      </c>
      <c r="C813">
        <v>35</v>
      </c>
      <c r="D813">
        <v>904000</v>
      </c>
      <c r="E813" t="str">
        <f t="shared" si="24"/>
        <v>2024-06</v>
      </c>
      <c r="F813" t="str">
        <f t="shared" si="25"/>
        <v>Thu</v>
      </c>
    </row>
    <row r="814" spans="1:6" x14ac:dyDescent="0.3">
      <c r="A814" s="1">
        <v>45464</v>
      </c>
      <c r="B814" t="s">
        <v>16</v>
      </c>
      <c r="C814">
        <v>29</v>
      </c>
      <c r="D814">
        <v>894000</v>
      </c>
      <c r="E814" t="str">
        <f t="shared" si="24"/>
        <v>2024-06</v>
      </c>
      <c r="F814" t="str">
        <f t="shared" si="25"/>
        <v>Fri</v>
      </c>
    </row>
    <row r="815" spans="1:6" x14ac:dyDescent="0.3">
      <c r="A815" s="1">
        <v>45465</v>
      </c>
      <c r="B815" t="s">
        <v>16</v>
      </c>
      <c r="C815">
        <v>21</v>
      </c>
      <c r="D815">
        <v>634000</v>
      </c>
      <c r="E815" t="str">
        <f t="shared" si="24"/>
        <v>2024-06</v>
      </c>
      <c r="F815" t="str">
        <f t="shared" si="25"/>
        <v>Sat</v>
      </c>
    </row>
    <row r="816" spans="1:6" x14ac:dyDescent="0.3">
      <c r="A816" s="1">
        <v>45466</v>
      </c>
      <c r="B816" t="s">
        <v>16</v>
      </c>
      <c r="C816">
        <v>18</v>
      </c>
      <c r="D816">
        <v>531000</v>
      </c>
      <c r="E816" t="str">
        <f t="shared" si="24"/>
        <v>2024-06</v>
      </c>
      <c r="F816" t="str">
        <f t="shared" si="25"/>
        <v>Sun</v>
      </c>
    </row>
    <row r="817" spans="1:6" x14ac:dyDescent="0.3">
      <c r="A817" s="1">
        <v>45467</v>
      </c>
      <c r="B817" t="s">
        <v>16</v>
      </c>
      <c r="C817">
        <v>33</v>
      </c>
      <c r="D817">
        <v>965000</v>
      </c>
      <c r="E817" t="str">
        <f t="shared" si="24"/>
        <v>2024-06</v>
      </c>
      <c r="F817" t="str">
        <f t="shared" si="25"/>
        <v>Mon</v>
      </c>
    </row>
    <row r="818" spans="1:6" x14ac:dyDescent="0.3">
      <c r="A818" s="1">
        <v>45468</v>
      </c>
      <c r="B818" t="s">
        <v>16</v>
      </c>
      <c r="C818">
        <v>27</v>
      </c>
      <c r="D818">
        <v>852000</v>
      </c>
      <c r="E818" t="str">
        <f t="shared" si="24"/>
        <v>2024-06</v>
      </c>
      <c r="F818" t="str">
        <f t="shared" si="25"/>
        <v>Tue</v>
      </c>
    </row>
    <row r="819" spans="1:6" x14ac:dyDescent="0.3">
      <c r="A819" s="1">
        <v>45469</v>
      </c>
      <c r="B819" t="s">
        <v>16</v>
      </c>
      <c r="C819">
        <v>27</v>
      </c>
      <c r="D819">
        <v>804000</v>
      </c>
      <c r="E819" t="str">
        <f t="shared" si="24"/>
        <v>2024-06</v>
      </c>
      <c r="F819" t="str">
        <f t="shared" si="25"/>
        <v>Wed</v>
      </c>
    </row>
    <row r="820" spans="1:6" x14ac:dyDescent="0.3">
      <c r="A820" s="1">
        <v>45470</v>
      </c>
      <c r="B820" t="s">
        <v>16</v>
      </c>
      <c r="C820">
        <v>38</v>
      </c>
      <c r="D820">
        <v>951000</v>
      </c>
      <c r="E820" t="str">
        <f t="shared" si="24"/>
        <v>2024-06</v>
      </c>
      <c r="F820" t="str">
        <f t="shared" si="25"/>
        <v>Thu</v>
      </c>
    </row>
    <row r="821" spans="1:6" x14ac:dyDescent="0.3">
      <c r="A821" s="1">
        <v>45471</v>
      </c>
      <c r="B821" t="s">
        <v>16</v>
      </c>
      <c r="C821">
        <v>34</v>
      </c>
      <c r="D821">
        <v>1006000</v>
      </c>
      <c r="E821" t="str">
        <f t="shared" si="24"/>
        <v>2024-06</v>
      </c>
      <c r="F821" t="str">
        <f t="shared" si="25"/>
        <v>Fri</v>
      </c>
    </row>
    <row r="822" spans="1:6" x14ac:dyDescent="0.3">
      <c r="A822" s="1">
        <v>45472</v>
      </c>
      <c r="B822" t="s">
        <v>16</v>
      </c>
      <c r="C822">
        <v>23</v>
      </c>
      <c r="D822">
        <v>655000</v>
      </c>
      <c r="E822" t="str">
        <f t="shared" si="24"/>
        <v>2024-06</v>
      </c>
      <c r="F822" t="str">
        <f t="shared" si="25"/>
        <v>Sat</v>
      </c>
    </row>
    <row r="823" spans="1:6" x14ac:dyDescent="0.3">
      <c r="A823" s="1">
        <v>45473</v>
      </c>
      <c r="B823" t="s">
        <v>16</v>
      </c>
      <c r="C823">
        <v>23</v>
      </c>
      <c r="D823">
        <v>636000</v>
      </c>
      <c r="E823" t="str">
        <f t="shared" si="24"/>
        <v>2024-06</v>
      </c>
      <c r="F823" t="str">
        <f t="shared" si="25"/>
        <v>Sun</v>
      </c>
    </row>
    <row r="824" spans="1:6" x14ac:dyDescent="0.3">
      <c r="A824" s="1">
        <v>45474</v>
      </c>
      <c r="B824" t="s">
        <v>16</v>
      </c>
      <c r="C824">
        <v>28</v>
      </c>
      <c r="D824">
        <v>826000</v>
      </c>
      <c r="E824" t="str">
        <f t="shared" si="24"/>
        <v>2024-07</v>
      </c>
      <c r="F824" t="str">
        <f t="shared" si="25"/>
        <v>Mon</v>
      </c>
    </row>
    <row r="825" spans="1:6" x14ac:dyDescent="0.3">
      <c r="A825" s="1">
        <v>45475</v>
      </c>
      <c r="B825" t="s">
        <v>16</v>
      </c>
      <c r="C825">
        <v>40</v>
      </c>
      <c r="D825">
        <v>1135000</v>
      </c>
      <c r="E825" t="str">
        <f t="shared" si="24"/>
        <v>2024-07</v>
      </c>
      <c r="F825" t="str">
        <f t="shared" si="25"/>
        <v>Tue</v>
      </c>
    </row>
    <row r="826" spans="1:6" x14ac:dyDescent="0.3">
      <c r="A826" s="1">
        <v>45476</v>
      </c>
      <c r="B826" t="s">
        <v>16</v>
      </c>
      <c r="C826">
        <v>47</v>
      </c>
      <c r="D826">
        <v>974000</v>
      </c>
      <c r="E826" t="str">
        <f t="shared" si="24"/>
        <v>2024-07</v>
      </c>
      <c r="F826" t="str">
        <f t="shared" si="25"/>
        <v>Wed</v>
      </c>
    </row>
    <row r="827" spans="1:6" x14ac:dyDescent="0.3">
      <c r="A827" s="1">
        <v>45477</v>
      </c>
      <c r="B827" t="s">
        <v>16</v>
      </c>
      <c r="C827">
        <v>25</v>
      </c>
      <c r="D827">
        <v>810000</v>
      </c>
      <c r="E827" t="str">
        <f t="shared" si="24"/>
        <v>2024-07</v>
      </c>
      <c r="F827" t="str">
        <f t="shared" si="25"/>
        <v>Thu</v>
      </c>
    </row>
    <row r="828" spans="1:6" x14ac:dyDescent="0.3">
      <c r="A828" s="1">
        <v>45478</v>
      </c>
      <c r="B828" t="s">
        <v>16</v>
      </c>
      <c r="C828">
        <v>27</v>
      </c>
      <c r="D828">
        <v>840000</v>
      </c>
      <c r="E828" t="str">
        <f t="shared" si="24"/>
        <v>2024-07</v>
      </c>
      <c r="F828" t="str">
        <f t="shared" si="25"/>
        <v>Fri</v>
      </c>
    </row>
    <row r="829" spans="1:6" x14ac:dyDescent="0.3">
      <c r="A829" s="1">
        <v>45479</v>
      </c>
      <c r="B829" t="s">
        <v>16</v>
      </c>
      <c r="C829">
        <v>23</v>
      </c>
      <c r="D829">
        <v>634000</v>
      </c>
      <c r="E829" t="str">
        <f t="shared" si="24"/>
        <v>2024-07</v>
      </c>
      <c r="F829" t="str">
        <f t="shared" si="25"/>
        <v>Sat</v>
      </c>
    </row>
    <row r="830" spans="1:6" x14ac:dyDescent="0.3">
      <c r="A830" s="1">
        <v>45480</v>
      </c>
      <c r="B830" t="s">
        <v>16</v>
      </c>
      <c r="C830">
        <v>20</v>
      </c>
      <c r="D830">
        <v>542000</v>
      </c>
      <c r="E830" t="str">
        <f t="shared" si="24"/>
        <v>2024-07</v>
      </c>
      <c r="F830" t="str">
        <f t="shared" si="25"/>
        <v>Sun</v>
      </c>
    </row>
    <row r="831" spans="1:6" x14ac:dyDescent="0.3">
      <c r="A831" s="1">
        <v>45481</v>
      </c>
      <c r="B831" t="s">
        <v>16</v>
      </c>
      <c r="D831">
        <v>919000</v>
      </c>
      <c r="E831" t="str">
        <f t="shared" si="24"/>
        <v>2024-07</v>
      </c>
      <c r="F831" t="str">
        <f t="shared" si="25"/>
        <v>Mon</v>
      </c>
    </row>
    <row r="832" spans="1:6" x14ac:dyDescent="0.3">
      <c r="A832" s="1">
        <v>45482</v>
      </c>
      <c r="B832" t="s">
        <v>16</v>
      </c>
      <c r="D832">
        <v>868000</v>
      </c>
      <c r="E832" t="str">
        <f t="shared" si="24"/>
        <v>2024-07</v>
      </c>
      <c r="F832" t="str">
        <f t="shared" si="25"/>
        <v>Tue</v>
      </c>
    </row>
    <row r="833" spans="1:6" x14ac:dyDescent="0.3">
      <c r="A833" s="1">
        <v>45483</v>
      </c>
      <c r="B833" t="s">
        <v>16</v>
      </c>
      <c r="D833">
        <v>1006000</v>
      </c>
      <c r="E833" t="str">
        <f t="shared" si="24"/>
        <v>2024-07</v>
      </c>
      <c r="F833" t="str">
        <f t="shared" si="25"/>
        <v>Wed</v>
      </c>
    </row>
    <row r="834" spans="1:6" x14ac:dyDescent="0.3">
      <c r="A834" s="1">
        <v>45484</v>
      </c>
      <c r="B834" t="s">
        <v>16</v>
      </c>
      <c r="D834">
        <v>985000</v>
      </c>
      <c r="E834" t="str">
        <f t="shared" ref="E834:E897" si="26">TEXT(A834,"yyyy-mm")</f>
        <v>2024-07</v>
      </c>
      <c r="F834" t="str">
        <f t="shared" ref="F834:F897" si="27">TEXT(A834,"ddd")</f>
        <v>Thu</v>
      </c>
    </row>
    <row r="835" spans="1:6" x14ac:dyDescent="0.3">
      <c r="A835" s="1">
        <v>45485</v>
      </c>
      <c r="B835" t="s">
        <v>16</v>
      </c>
      <c r="D835">
        <v>686000</v>
      </c>
      <c r="E835" t="str">
        <f t="shared" si="26"/>
        <v>2024-07</v>
      </c>
      <c r="F835" t="str">
        <f t="shared" si="27"/>
        <v>Fri</v>
      </c>
    </row>
    <row r="836" spans="1:6" x14ac:dyDescent="0.3">
      <c r="A836" s="1">
        <v>45486</v>
      </c>
      <c r="B836" t="s">
        <v>16</v>
      </c>
      <c r="C836">
        <v>25</v>
      </c>
      <c r="D836">
        <v>634000</v>
      </c>
      <c r="E836" t="str">
        <f t="shared" si="26"/>
        <v>2024-07</v>
      </c>
      <c r="F836" t="str">
        <f t="shared" si="27"/>
        <v>Sat</v>
      </c>
    </row>
    <row r="837" spans="1:6" x14ac:dyDescent="0.3">
      <c r="A837" s="1">
        <v>45487</v>
      </c>
      <c r="B837" t="s">
        <v>16</v>
      </c>
      <c r="C837">
        <v>21</v>
      </c>
      <c r="D837">
        <v>540000</v>
      </c>
      <c r="E837" t="str">
        <f t="shared" si="26"/>
        <v>2024-07</v>
      </c>
      <c r="F837" t="str">
        <f t="shared" si="27"/>
        <v>Sun</v>
      </c>
    </row>
    <row r="838" spans="1:6" x14ac:dyDescent="0.3">
      <c r="A838" s="1">
        <v>45488</v>
      </c>
      <c r="B838" t="s">
        <v>16</v>
      </c>
      <c r="C838">
        <v>32</v>
      </c>
      <c r="D838">
        <v>999000</v>
      </c>
      <c r="E838" t="str">
        <f t="shared" si="26"/>
        <v>2024-07</v>
      </c>
      <c r="F838" t="str">
        <f t="shared" si="27"/>
        <v>Mon</v>
      </c>
    </row>
    <row r="839" spans="1:6" x14ac:dyDescent="0.3">
      <c r="A839" s="1">
        <v>45489</v>
      </c>
      <c r="B839" t="s">
        <v>16</v>
      </c>
      <c r="C839">
        <v>29</v>
      </c>
      <c r="D839">
        <v>923000</v>
      </c>
      <c r="E839" t="str">
        <f t="shared" si="26"/>
        <v>2024-07</v>
      </c>
      <c r="F839" t="str">
        <f t="shared" si="27"/>
        <v>Tue</v>
      </c>
    </row>
    <row r="840" spans="1:6" x14ac:dyDescent="0.3">
      <c r="A840" s="1">
        <v>45490</v>
      </c>
      <c r="B840" t="s">
        <v>16</v>
      </c>
      <c r="C840">
        <v>33</v>
      </c>
      <c r="D840">
        <v>955000</v>
      </c>
      <c r="E840" t="str">
        <f t="shared" si="26"/>
        <v>2024-07</v>
      </c>
      <c r="F840" t="str">
        <f t="shared" si="27"/>
        <v>Wed</v>
      </c>
    </row>
    <row r="841" spans="1:6" x14ac:dyDescent="0.3">
      <c r="A841" s="1">
        <v>45491</v>
      </c>
      <c r="B841" t="s">
        <v>16</v>
      </c>
      <c r="C841">
        <v>30</v>
      </c>
      <c r="D841">
        <v>823000</v>
      </c>
      <c r="E841" t="str">
        <f t="shared" si="26"/>
        <v>2024-07</v>
      </c>
      <c r="F841" t="str">
        <f t="shared" si="27"/>
        <v>Thu</v>
      </c>
    </row>
    <row r="842" spans="1:6" x14ac:dyDescent="0.3">
      <c r="A842" s="1">
        <v>45492</v>
      </c>
      <c r="B842" t="s">
        <v>16</v>
      </c>
      <c r="C842">
        <v>41</v>
      </c>
      <c r="D842">
        <v>1061000</v>
      </c>
      <c r="E842" t="str">
        <f t="shared" si="26"/>
        <v>2024-07</v>
      </c>
      <c r="F842" t="str">
        <f t="shared" si="27"/>
        <v>Fri</v>
      </c>
    </row>
    <row r="843" spans="1:6" x14ac:dyDescent="0.3">
      <c r="A843" s="1">
        <v>45493</v>
      </c>
      <c r="B843" t="s">
        <v>16</v>
      </c>
      <c r="C843">
        <v>25</v>
      </c>
      <c r="D843">
        <v>750000</v>
      </c>
      <c r="E843" t="str">
        <f t="shared" si="26"/>
        <v>2024-07</v>
      </c>
      <c r="F843" t="str">
        <f t="shared" si="27"/>
        <v>Sat</v>
      </c>
    </row>
    <row r="844" spans="1:6" x14ac:dyDescent="0.3">
      <c r="A844" s="1">
        <v>45494</v>
      </c>
      <c r="B844" t="s">
        <v>16</v>
      </c>
      <c r="C844">
        <v>18</v>
      </c>
      <c r="D844">
        <v>574000</v>
      </c>
      <c r="E844" t="str">
        <f t="shared" si="26"/>
        <v>2024-07</v>
      </c>
      <c r="F844" t="str">
        <f t="shared" si="27"/>
        <v>Sun</v>
      </c>
    </row>
    <row r="845" spans="1:6" x14ac:dyDescent="0.3">
      <c r="A845" s="1">
        <v>45495</v>
      </c>
      <c r="B845" t="s">
        <v>16</v>
      </c>
      <c r="C845">
        <v>39</v>
      </c>
      <c r="D845">
        <v>943000</v>
      </c>
      <c r="E845" t="str">
        <f t="shared" si="26"/>
        <v>2024-07</v>
      </c>
      <c r="F845" t="str">
        <f t="shared" si="27"/>
        <v>Mon</v>
      </c>
    </row>
    <row r="846" spans="1:6" x14ac:dyDescent="0.3">
      <c r="A846" s="1">
        <v>45496</v>
      </c>
      <c r="B846" t="s">
        <v>16</v>
      </c>
      <c r="C846">
        <v>28</v>
      </c>
      <c r="D846">
        <v>858000</v>
      </c>
      <c r="E846" t="str">
        <f t="shared" si="26"/>
        <v>2024-07</v>
      </c>
      <c r="F846" t="str">
        <f t="shared" si="27"/>
        <v>Tue</v>
      </c>
    </row>
    <row r="847" spans="1:6" x14ac:dyDescent="0.3">
      <c r="A847" s="1">
        <v>45497</v>
      </c>
      <c r="B847" t="s">
        <v>16</v>
      </c>
      <c r="C847">
        <v>40</v>
      </c>
      <c r="D847">
        <v>911000</v>
      </c>
      <c r="E847" t="str">
        <f t="shared" si="26"/>
        <v>2024-07</v>
      </c>
      <c r="F847" t="str">
        <f t="shared" si="27"/>
        <v>Wed</v>
      </c>
    </row>
    <row r="848" spans="1:6" x14ac:dyDescent="0.3">
      <c r="A848" s="1">
        <v>45498</v>
      </c>
      <c r="B848" t="s">
        <v>16</v>
      </c>
      <c r="C848">
        <v>30</v>
      </c>
      <c r="D848">
        <v>810000</v>
      </c>
      <c r="E848" t="str">
        <f t="shared" si="26"/>
        <v>2024-07</v>
      </c>
      <c r="F848" t="str">
        <f t="shared" si="27"/>
        <v>Thu</v>
      </c>
    </row>
    <row r="849" spans="1:6" x14ac:dyDescent="0.3">
      <c r="A849" s="1">
        <v>45499</v>
      </c>
      <c r="B849" t="s">
        <v>16</v>
      </c>
      <c r="C849">
        <v>37</v>
      </c>
      <c r="D849">
        <v>1068000</v>
      </c>
      <c r="E849" t="str">
        <f t="shared" si="26"/>
        <v>2024-07</v>
      </c>
      <c r="F849" t="str">
        <f t="shared" si="27"/>
        <v>Fri</v>
      </c>
    </row>
    <row r="850" spans="1:6" x14ac:dyDescent="0.3">
      <c r="A850" s="1">
        <v>45500</v>
      </c>
      <c r="B850" t="s">
        <v>16</v>
      </c>
      <c r="C850">
        <v>24</v>
      </c>
      <c r="D850">
        <v>582000</v>
      </c>
      <c r="E850" t="str">
        <f t="shared" si="26"/>
        <v>2024-07</v>
      </c>
      <c r="F850" t="str">
        <f t="shared" si="27"/>
        <v>Sat</v>
      </c>
    </row>
    <row r="851" spans="1:6" x14ac:dyDescent="0.3">
      <c r="A851" s="1">
        <v>45501</v>
      </c>
      <c r="B851" t="s">
        <v>16</v>
      </c>
      <c r="C851">
        <v>26</v>
      </c>
      <c r="D851">
        <v>621000</v>
      </c>
      <c r="E851" t="str">
        <f t="shared" si="26"/>
        <v>2024-07</v>
      </c>
      <c r="F851" t="str">
        <f t="shared" si="27"/>
        <v>Sun</v>
      </c>
    </row>
    <row r="852" spans="1:6" x14ac:dyDescent="0.3">
      <c r="A852" s="1">
        <v>45502</v>
      </c>
      <c r="B852" t="s">
        <v>16</v>
      </c>
      <c r="C852">
        <v>34</v>
      </c>
      <c r="D852">
        <v>957000</v>
      </c>
      <c r="E852" t="str">
        <f t="shared" si="26"/>
        <v>2024-07</v>
      </c>
      <c r="F852" t="str">
        <f t="shared" si="27"/>
        <v>Mon</v>
      </c>
    </row>
    <row r="853" spans="1:6" x14ac:dyDescent="0.3">
      <c r="A853" s="1">
        <v>45503</v>
      </c>
      <c r="B853" t="s">
        <v>16</v>
      </c>
      <c r="C853">
        <v>29</v>
      </c>
      <c r="D853">
        <v>863000</v>
      </c>
      <c r="E853" t="str">
        <f t="shared" si="26"/>
        <v>2024-07</v>
      </c>
      <c r="F853" t="str">
        <f t="shared" si="27"/>
        <v>Tue</v>
      </c>
    </row>
    <row r="854" spans="1:6" x14ac:dyDescent="0.3">
      <c r="A854" s="1">
        <v>45504</v>
      </c>
      <c r="B854" t="s">
        <v>16</v>
      </c>
      <c r="C854">
        <v>33</v>
      </c>
      <c r="D854">
        <v>897000</v>
      </c>
      <c r="E854" t="str">
        <f t="shared" si="26"/>
        <v>2024-07</v>
      </c>
      <c r="F854" t="str">
        <f t="shared" si="27"/>
        <v>Wed</v>
      </c>
    </row>
    <row r="855" spans="1:6" x14ac:dyDescent="0.3">
      <c r="A855" s="1">
        <v>45505</v>
      </c>
      <c r="B855" t="s">
        <v>16</v>
      </c>
      <c r="C855">
        <v>28</v>
      </c>
      <c r="D855">
        <v>871000</v>
      </c>
      <c r="E855" t="str">
        <f t="shared" si="26"/>
        <v>2024-08</v>
      </c>
      <c r="F855" t="str">
        <f t="shared" si="27"/>
        <v>Thu</v>
      </c>
    </row>
    <row r="856" spans="1:6" x14ac:dyDescent="0.3">
      <c r="A856" s="1">
        <v>45506</v>
      </c>
      <c r="B856" t="s">
        <v>16</v>
      </c>
      <c r="C856">
        <v>35</v>
      </c>
      <c r="D856">
        <v>907000</v>
      </c>
      <c r="E856" t="str">
        <f t="shared" si="26"/>
        <v>2024-08</v>
      </c>
      <c r="F856" t="str">
        <f t="shared" si="27"/>
        <v>Fri</v>
      </c>
    </row>
    <row r="857" spans="1:6" x14ac:dyDescent="0.3">
      <c r="A857" s="1">
        <v>45507</v>
      </c>
      <c r="B857" t="s">
        <v>16</v>
      </c>
      <c r="C857">
        <v>18</v>
      </c>
      <c r="D857">
        <v>572000</v>
      </c>
      <c r="E857" t="str">
        <f t="shared" si="26"/>
        <v>2024-08</v>
      </c>
      <c r="F857" t="str">
        <f t="shared" si="27"/>
        <v>Sat</v>
      </c>
    </row>
    <row r="858" spans="1:6" x14ac:dyDescent="0.3">
      <c r="A858" s="1">
        <v>45508</v>
      </c>
      <c r="B858" t="s">
        <v>16</v>
      </c>
      <c r="C858">
        <v>22</v>
      </c>
      <c r="D858">
        <v>615000</v>
      </c>
      <c r="E858" t="str">
        <f t="shared" si="26"/>
        <v>2024-08</v>
      </c>
      <c r="F858" t="str">
        <f t="shared" si="27"/>
        <v>Sun</v>
      </c>
    </row>
    <row r="859" spans="1:6" x14ac:dyDescent="0.3">
      <c r="A859" s="1">
        <v>45509</v>
      </c>
      <c r="B859" t="s">
        <v>16</v>
      </c>
      <c r="C859">
        <v>32</v>
      </c>
      <c r="D859">
        <v>902000</v>
      </c>
      <c r="E859" t="str">
        <f t="shared" si="26"/>
        <v>2024-08</v>
      </c>
      <c r="F859" t="str">
        <f t="shared" si="27"/>
        <v>Mon</v>
      </c>
    </row>
    <row r="860" spans="1:6" x14ac:dyDescent="0.3">
      <c r="A860" s="1">
        <v>45510</v>
      </c>
      <c r="B860" t="s">
        <v>16</v>
      </c>
      <c r="C860">
        <v>30</v>
      </c>
      <c r="D860">
        <v>892000</v>
      </c>
      <c r="E860" t="str">
        <f t="shared" si="26"/>
        <v>2024-08</v>
      </c>
      <c r="F860" t="str">
        <f t="shared" si="27"/>
        <v>Tue</v>
      </c>
    </row>
    <row r="861" spans="1:6" x14ac:dyDescent="0.3">
      <c r="A861" s="1">
        <v>45511</v>
      </c>
      <c r="B861" t="s">
        <v>16</v>
      </c>
      <c r="C861">
        <v>32</v>
      </c>
      <c r="D861">
        <v>925000</v>
      </c>
      <c r="E861" t="str">
        <f t="shared" si="26"/>
        <v>2024-08</v>
      </c>
      <c r="F861" t="str">
        <f t="shared" si="27"/>
        <v>Wed</v>
      </c>
    </row>
    <row r="862" spans="1:6" x14ac:dyDescent="0.3">
      <c r="A862" s="1">
        <v>45512</v>
      </c>
      <c r="B862" t="s">
        <v>16</v>
      </c>
      <c r="C862">
        <v>27</v>
      </c>
      <c r="D862">
        <v>897000</v>
      </c>
      <c r="E862" t="str">
        <f t="shared" si="26"/>
        <v>2024-08</v>
      </c>
      <c r="F862" t="str">
        <f t="shared" si="27"/>
        <v>Thu</v>
      </c>
    </row>
    <row r="863" spans="1:6" x14ac:dyDescent="0.3">
      <c r="A863" s="1">
        <v>45513</v>
      </c>
      <c r="B863" t="s">
        <v>16</v>
      </c>
      <c r="C863">
        <v>29</v>
      </c>
      <c r="D863">
        <v>984000</v>
      </c>
      <c r="E863" t="str">
        <f t="shared" si="26"/>
        <v>2024-08</v>
      </c>
      <c r="F863" t="str">
        <f t="shared" si="27"/>
        <v>Fri</v>
      </c>
    </row>
    <row r="864" spans="1:6" x14ac:dyDescent="0.3">
      <c r="A864" s="1">
        <v>45514</v>
      </c>
      <c r="B864" t="s">
        <v>16</v>
      </c>
      <c r="C864">
        <v>21</v>
      </c>
      <c r="D864">
        <v>624000</v>
      </c>
      <c r="E864" t="str">
        <f t="shared" si="26"/>
        <v>2024-08</v>
      </c>
      <c r="F864" t="str">
        <f t="shared" si="27"/>
        <v>Sat</v>
      </c>
    </row>
    <row r="865" spans="1:6" x14ac:dyDescent="0.3">
      <c r="A865" s="1">
        <v>45515</v>
      </c>
      <c r="B865" t="s">
        <v>16</v>
      </c>
      <c r="C865">
        <v>23</v>
      </c>
      <c r="D865">
        <v>635000</v>
      </c>
      <c r="E865" t="str">
        <f t="shared" si="26"/>
        <v>2024-08</v>
      </c>
      <c r="F865" t="str">
        <f t="shared" si="27"/>
        <v>Sun</v>
      </c>
    </row>
    <row r="866" spans="1:6" x14ac:dyDescent="0.3">
      <c r="A866" s="1">
        <v>45516</v>
      </c>
      <c r="B866" t="s">
        <v>16</v>
      </c>
      <c r="C866">
        <v>0</v>
      </c>
      <c r="D866">
        <v>0</v>
      </c>
      <c r="E866" t="str">
        <f t="shared" si="26"/>
        <v>2024-08</v>
      </c>
      <c r="F866" t="str">
        <f t="shared" si="27"/>
        <v>Mon</v>
      </c>
    </row>
    <row r="867" spans="1:6" x14ac:dyDescent="0.3">
      <c r="A867" s="1">
        <v>45517</v>
      </c>
      <c r="B867" t="s">
        <v>16</v>
      </c>
      <c r="C867">
        <v>0</v>
      </c>
      <c r="D867">
        <v>0</v>
      </c>
      <c r="E867" t="str">
        <f t="shared" si="26"/>
        <v>2024-08</v>
      </c>
      <c r="F867" t="str">
        <f t="shared" si="27"/>
        <v>Tue</v>
      </c>
    </row>
    <row r="868" spans="1:6" x14ac:dyDescent="0.3">
      <c r="A868" s="1">
        <v>45518</v>
      </c>
      <c r="B868" t="s">
        <v>16</v>
      </c>
      <c r="C868">
        <v>0</v>
      </c>
      <c r="D868">
        <v>0</v>
      </c>
      <c r="E868" t="str">
        <f t="shared" si="26"/>
        <v>2024-08</v>
      </c>
      <c r="F868" t="str">
        <f t="shared" si="27"/>
        <v>Wed</v>
      </c>
    </row>
    <row r="869" spans="1:6" x14ac:dyDescent="0.3">
      <c r="A869" s="1">
        <v>45519</v>
      </c>
      <c r="B869" t="s">
        <v>16</v>
      </c>
      <c r="C869">
        <v>0</v>
      </c>
      <c r="D869">
        <v>0</v>
      </c>
      <c r="E869" t="str">
        <f t="shared" si="26"/>
        <v>2024-08</v>
      </c>
      <c r="F869" t="str">
        <f t="shared" si="27"/>
        <v>Thu</v>
      </c>
    </row>
    <row r="870" spans="1:6" x14ac:dyDescent="0.3">
      <c r="A870" s="1">
        <v>45520</v>
      </c>
      <c r="B870" t="s">
        <v>16</v>
      </c>
      <c r="C870">
        <v>0</v>
      </c>
      <c r="D870">
        <v>0</v>
      </c>
      <c r="E870" t="str">
        <f t="shared" si="26"/>
        <v>2024-08</v>
      </c>
      <c r="F870" t="str">
        <f t="shared" si="27"/>
        <v>Fri</v>
      </c>
    </row>
    <row r="871" spans="1:6" x14ac:dyDescent="0.3">
      <c r="A871" s="1">
        <v>45521</v>
      </c>
      <c r="B871" t="s">
        <v>16</v>
      </c>
      <c r="C871">
        <v>0</v>
      </c>
      <c r="D871">
        <v>0</v>
      </c>
      <c r="E871" t="str">
        <f t="shared" si="26"/>
        <v>2024-08</v>
      </c>
      <c r="F871" t="str">
        <f t="shared" si="27"/>
        <v>Sat</v>
      </c>
    </row>
    <row r="872" spans="1:6" x14ac:dyDescent="0.3">
      <c r="A872" s="1">
        <v>45522</v>
      </c>
      <c r="B872" t="s">
        <v>16</v>
      </c>
      <c r="C872">
        <v>23</v>
      </c>
      <c r="D872">
        <v>666000</v>
      </c>
      <c r="E872" t="str">
        <f t="shared" si="26"/>
        <v>2024-08</v>
      </c>
      <c r="F872" t="str">
        <f t="shared" si="27"/>
        <v>Sun</v>
      </c>
    </row>
    <row r="873" spans="1:6" x14ac:dyDescent="0.3">
      <c r="A873" s="1">
        <v>45523</v>
      </c>
      <c r="B873" t="s">
        <v>16</v>
      </c>
      <c r="C873">
        <v>39</v>
      </c>
      <c r="D873">
        <v>960000</v>
      </c>
      <c r="E873" t="str">
        <f t="shared" si="26"/>
        <v>2024-08</v>
      </c>
      <c r="F873" t="str">
        <f t="shared" si="27"/>
        <v>Mon</v>
      </c>
    </row>
    <row r="874" spans="1:6" x14ac:dyDescent="0.3">
      <c r="A874" s="1">
        <v>45524</v>
      </c>
      <c r="B874" t="s">
        <v>16</v>
      </c>
      <c r="C874">
        <v>35</v>
      </c>
      <c r="D874">
        <v>894000</v>
      </c>
      <c r="E874" t="str">
        <f t="shared" si="26"/>
        <v>2024-08</v>
      </c>
      <c r="F874" t="str">
        <f t="shared" si="27"/>
        <v>Tue</v>
      </c>
    </row>
    <row r="875" spans="1:6" x14ac:dyDescent="0.3">
      <c r="A875" s="1">
        <v>45525</v>
      </c>
      <c r="B875" t="s">
        <v>16</v>
      </c>
      <c r="C875">
        <v>25</v>
      </c>
      <c r="D875">
        <v>759000</v>
      </c>
      <c r="E875" t="str">
        <f t="shared" si="26"/>
        <v>2024-08</v>
      </c>
      <c r="F875" t="str">
        <f t="shared" si="27"/>
        <v>Wed</v>
      </c>
    </row>
    <row r="876" spans="1:6" x14ac:dyDescent="0.3">
      <c r="A876" s="1">
        <v>45526</v>
      </c>
      <c r="B876" t="s">
        <v>16</v>
      </c>
      <c r="C876">
        <v>32</v>
      </c>
      <c r="D876">
        <v>964000</v>
      </c>
      <c r="E876" t="str">
        <f t="shared" si="26"/>
        <v>2024-08</v>
      </c>
      <c r="F876" t="str">
        <f t="shared" si="27"/>
        <v>Thu</v>
      </c>
    </row>
    <row r="877" spans="1:6" x14ac:dyDescent="0.3">
      <c r="A877" s="1">
        <v>45527</v>
      </c>
      <c r="B877" t="s">
        <v>16</v>
      </c>
      <c r="C877">
        <v>36</v>
      </c>
      <c r="D877">
        <v>951000</v>
      </c>
      <c r="E877" t="str">
        <f t="shared" si="26"/>
        <v>2024-08</v>
      </c>
      <c r="F877" t="str">
        <f t="shared" si="27"/>
        <v>Fri</v>
      </c>
    </row>
    <row r="878" spans="1:6" x14ac:dyDescent="0.3">
      <c r="A878" s="1">
        <v>45528</v>
      </c>
      <c r="B878" t="s">
        <v>16</v>
      </c>
      <c r="C878">
        <v>18</v>
      </c>
      <c r="D878">
        <v>565000</v>
      </c>
      <c r="E878" t="str">
        <f t="shared" si="26"/>
        <v>2024-08</v>
      </c>
      <c r="F878" t="str">
        <f t="shared" si="27"/>
        <v>Sat</v>
      </c>
    </row>
    <row r="879" spans="1:6" x14ac:dyDescent="0.3">
      <c r="A879" s="1">
        <v>45529</v>
      </c>
      <c r="B879" t="s">
        <v>16</v>
      </c>
      <c r="C879">
        <v>26</v>
      </c>
      <c r="D879">
        <v>693000</v>
      </c>
      <c r="E879" t="str">
        <f t="shared" si="26"/>
        <v>2024-08</v>
      </c>
      <c r="F879" t="str">
        <f t="shared" si="27"/>
        <v>Sun</v>
      </c>
    </row>
    <row r="880" spans="1:6" x14ac:dyDescent="0.3">
      <c r="A880" s="1">
        <v>45530</v>
      </c>
      <c r="B880" t="s">
        <v>16</v>
      </c>
      <c r="C880">
        <v>32</v>
      </c>
      <c r="D880">
        <v>872000</v>
      </c>
      <c r="E880" t="str">
        <f t="shared" si="26"/>
        <v>2024-08</v>
      </c>
      <c r="F880" t="str">
        <f t="shared" si="27"/>
        <v>Mon</v>
      </c>
    </row>
    <row r="881" spans="1:6" x14ac:dyDescent="0.3">
      <c r="A881" s="1">
        <v>45531</v>
      </c>
      <c r="B881" t="s">
        <v>16</v>
      </c>
      <c r="C881">
        <v>36</v>
      </c>
      <c r="D881">
        <v>837000</v>
      </c>
      <c r="E881" t="str">
        <f t="shared" si="26"/>
        <v>2024-08</v>
      </c>
      <c r="F881" t="str">
        <f t="shared" si="27"/>
        <v>Tue</v>
      </c>
    </row>
    <row r="882" spans="1:6" x14ac:dyDescent="0.3">
      <c r="A882" s="1">
        <v>45532</v>
      </c>
      <c r="B882" t="s">
        <v>16</v>
      </c>
      <c r="C882">
        <v>31</v>
      </c>
      <c r="D882">
        <v>940000</v>
      </c>
      <c r="E882" t="str">
        <f t="shared" si="26"/>
        <v>2024-08</v>
      </c>
      <c r="F882" t="str">
        <f t="shared" si="27"/>
        <v>Wed</v>
      </c>
    </row>
    <row r="883" spans="1:6" x14ac:dyDescent="0.3">
      <c r="A883" s="1">
        <v>45533</v>
      </c>
      <c r="B883" t="s">
        <v>16</v>
      </c>
      <c r="C883">
        <v>33</v>
      </c>
      <c r="D883">
        <v>917000</v>
      </c>
      <c r="E883" t="str">
        <f t="shared" si="26"/>
        <v>2024-08</v>
      </c>
      <c r="F883" t="str">
        <f t="shared" si="27"/>
        <v>Thu</v>
      </c>
    </row>
    <row r="884" spans="1:6" x14ac:dyDescent="0.3">
      <c r="A884" s="1">
        <v>45534</v>
      </c>
      <c r="B884" t="s">
        <v>16</v>
      </c>
      <c r="C884">
        <v>31</v>
      </c>
      <c r="D884">
        <v>950000</v>
      </c>
      <c r="E884" t="str">
        <f t="shared" si="26"/>
        <v>2024-08</v>
      </c>
      <c r="F884" t="str">
        <f t="shared" si="27"/>
        <v>Fri</v>
      </c>
    </row>
    <row r="885" spans="1:6" x14ac:dyDescent="0.3">
      <c r="A885" s="1">
        <v>45535</v>
      </c>
      <c r="B885" t="s">
        <v>16</v>
      </c>
      <c r="C885">
        <v>19</v>
      </c>
      <c r="D885">
        <v>556000</v>
      </c>
      <c r="E885" t="str">
        <f t="shared" si="26"/>
        <v>2024-08</v>
      </c>
      <c r="F885" t="str">
        <f t="shared" si="27"/>
        <v>Sat</v>
      </c>
    </row>
    <row r="886" spans="1:6" x14ac:dyDescent="0.3">
      <c r="A886" s="1">
        <v>45536</v>
      </c>
      <c r="B886" t="s">
        <v>16</v>
      </c>
      <c r="C886">
        <v>27</v>
      </c>
      <c r="D886">
        <v>756000</v>
      </c>
      <c r="E886" t="str">
        <f t="shared" si="26"/>
        <v>2024-09</v>
      </c>
      <c r="F886" t="str">
        <f t="shared" si="27"/>
        <v>Sun</v>
      </c>
    </row>
    <row r="887" spans="1:6" x14ac:dyDescent="0.3">
      <c r="A887" s="1">
        <v>45537</v>
      </c>
      <c r="B887" t="s">
        <v>16</v>
      </c>
      <c r="C887">
        <v>31</v>
      </c>
      <c r="D887">
        <v>884000</v>
      </c>
      <c r="E887" t="str">
        <f t="shared" si="26"/>
        <v>2024-09</v>
      </c>
      <c r="F887" t="str">
        <f t="shared" si="27"/>
        <v>Mon</v>
      </c>
    </row>
    <row r="888" spans="1:6" x14ac:dyDescent="0.3">
      <c r="A888" s="1">
        <v>45538</v>
      </c>
      <c r="B888" t="s">
        <v>16</v>
      </c>
      <c r="C888">
        <v>26</v>
      </c>
      <c r="D888">
        <v>805000</v>
      </c>
      <c r="E888" t="str">
        <f t="shared" si="26"/>
        <v>2024-09</v>
      </c>
      <c r="F888" t="str">
        <f t="shared" si="27"/>
        <v>Tue</v>
      </c>
    </row>
    <row r="889" spans="1:6" x14ac:dyDescent="0.3">
      <c r="A889" s="1">
        <v>45539</v>
      </c>
      <c r="B889" t="s">
        <v>16</v>
      </c>
      <c r="C889">
        <v>36</v>
      </c>
      <c r="D889">
        <v>987000</v>
      </c>
      <c r="E889" t="str">
        <f t="shared" si="26"/>
        <v>2024-09</v>
      </c>
      <c r="F889" t="str">
        <f t="shared" si="27"/>
        <v>Wed</v>
      </c>
    </row>
    <row r="890" spans="1:6" x14ac:dyDescent="0.3">
      <c r="A890" s="1">
        <v>45540</v>
      </c>
      <c r="B890" t="s">
        <v>16</v>
      </c>
      <c r="C890">
        <v>33</v>
      </c>
      <c r="D890">
        <v>906000</v>
      </c>
      <c r="E890" t="str">
        <f t="shared" si="26"/>
        <v>2024-09</v>
      </c>
      <c r="F890" t="str">
        <f t="shared" si="27"/>
        <v>Thu</v>
      </c>
    </row>
    <row r="891" spans="1:6" x14ac:dyDescent="0.3">
      <c r="A891" s="1">
        <v>45541</v>
      </c>
      <c r="B891" t="s">
        <v>16</v>
      </c>
      <c r="C891">
        <v>34</v>
      </c>
      <c r="D891">
        <v>964000</v>
      </c>
      <c r="E891" t="str">
        <f t="shared" si="26"/>
        <v>2024-09</v>
      </c>
      <c r="F891" t="str">
        <f t="shared" si="27"/>
        <v>Fri</v>
      </c>
    </row>
    <row r="892" spans="1:6" x14ac:dyDescent="0.3">
      <c r="A892" s="1">
        <v>45542</v>
      </c>
      <c r="B892" t="s">
        <v>16</v>
      </c>
      <c r="C892">
        <v>21</v>
      </c>
      <c r="D892">
        <v>632000</v>
      </c>
      <c r="E892" t="str">
        <f t="shared" si="26"/>
        <v>2024-09</v>
      </c>
      <c r="F892" t="str">
        <f t="shared" si="27"/>
        <v>Sat</v>
      </c>
    </row>
    <row r="893" spans="1:6" x14ac:dyDescent="0.3">
      <c r="A893" s="1">
        <v>45543</v>
      </c>
      <c r="B893" t="s">
        <v>16</v>
      </c>
      <c r="C893">
        <v>21</v>
      </c>
      <c r="D893">
        <v>649000</v>
      </c>
      <c r="E893" t="str">
        <f t="shared" si="26"/>
        <v>2024-09</v>
      </c>
      <c r="F893" t="str">
        <f t="shared" si="27"/>
        <v>Sun</v>
      </c>
    </row>
    <row r="894" spans="1:6" x14ac:dyDescent="0.3">
      <c r="A894" s="1">
        <v>45544</v>
      </c>
      <c r="B894" t="s">
        <v>16</v>
      </c>
      <c r="C894">
        <v>29</v>
      </c>
      <c r="D894">
        <v>959000</v>
      </c>
      <c r="E894" t="str">
        <f t="shared" si="26"/>
        <v>2024-09</v>
      </c>
      <c r="F894" t="str">
        <f t="shared" si="27"/>
        <v>Mon</v>
      </c>
    </row>
    <row r="895" spans="1:6" x14ac:dyDescent="0.3">
      <c r="A895" s="1">
        <v>45545</v>
      </c>
      <c r="B895" t="s">
        <v>16</v>
      </c>
      <c r="C895">
        <v>31</v>
      </c>
      <c r="D895">
        <v>875000</v>
      </c>
      <c r="E895" t="str">
        <f t="shared" si="26"/>
        <v>2024-09</v>
      </c>
      <c r="F895" t="str">
        <f t="shared" si="27"/>
        <v>Tue</v>
      </c>
    </row>
    <row r="896" spans="1:6" x14ac:dyDescent="0.3">
      <c r="A896" s="1">
        <v>45546</v>
      </c>
      <c r="B896" t="s">
        <v>16</v>
      </c>
      <c r="C896">
        <v>32</v>
      </c>
      <c r="D896">
        <v>996000</v>
      </c>
      <c r="E896" t="str">
        <f t="shared" si="26"/>
        <v>2024-09</v>
      </c>
      <c r="F896" t="str">
        <f t="shared" si="27"/>
        <v>Wed</v>
      </c>
    </row>
    <row r="897" spans="1:6" x14ac:dyDescent="0.3">
      <c r="A897" s="1">
        <v>45547</v>
      </c>
      <c r="B897" t="s">
        <v>16</v>
      </c>
      <c r="C897">
        <v>34</v>
      </c>
      <c r="D897">
        <v>900000</v>
      </c>
      <c r="E897" t="str">
        <f t="shared" si="26"/>
        <v>2024-09</v>
      </c>
      <c r="F897" t="str">
        <f t="shared" si="27"/>
        <v>Thu</v>
      </c>
    </row>
    <row r="898" spans="1:6" x14ac:dyDescent="0.3">
      <c r="A898" s="1">
        <v>45548</v>
      </c>
      <c r="B898" t="s">
        <v>16</v>
      </c>
      <c r="C898">
        <v>29</v>
      </c>
      <c r="D898">
        <v>866000</v>
      </c>
      <c r="E898" t="str">
        <f t="shared" ref="E898:E961" si="28">TEXT(A898,"yyyy-mm")</f>
        <v>2024-09</v>
      </c>
      <c r="F898" t="str">
        <f t="shared" ref="F898:F961" si="29">TEXT(A898,"ddd")</f>
        <v>Fri</v>
      </c>
    </row>
    <row r="899" spans="1:6" x14ac:dyDescent="0.3">
      <c r="A899" s="1">
        <v>45549</v>
      </c>
      <c r="B899" t="s">
        <v>16</v>
      </c>
      <c r="C899">
        <v>23</v>
      </c>
      <c r="D899">
        <v>660000</v>
      </c>
      <c r="E899" t="str">
        <f t="shared" si="28"/>
        <v>2024-09</v>
      </c>
      <c r="F899" t="str">
        <f t="shared" si="29"/>
        <v>Sat</v>
      </c>
    </row>
    <row r="900" spans="1:6" x14ac:dyDescent="0.3">
      <c r="A900" s="1">
        <v>45550</v>
      </c>
      <c r="B900" t="s">
        <v>16</v>
      </c>
      <c r="C900">
        <v>21</v>
      </c>
      <c r="D900">
        <v>682000</v>
      </c>
      <c r="E900" t="str">
        <f t="shared" si="28"/>
        <v>2024-09</v>
      </c>
      <c r="F900" t="str">
        <f t="shared" si="29"/>
        <v>Sun</v>
      </c>
    </row>
    <row r="901" spans="1:6" x14ac:dyDescent="0.3">
      <c r="A901" s="1">
        <v>45551</v>
      </c>
      <c r="B901" t="s">
        <v>16</v>
      </c>
      <c r="C901">
        <v>31</v>
      </c>
      <c r="D901">
        <v>922000</v>
      </c>
      <c r="E901" t="str">
        <f t="shared" si="28"/>
        <v>2024-09</v>
      </c>
      <c r="F901" t="str">
        <f t="shared" si="29"/>
        <v>Mon</v>
      </c>
    </row>
    <row r="902" spans="1:6" x14ac:dyDescent="0.3">
      <c r="A902" s="1">
        <v>45552</v>
      </c>
      <c r="B902" t="s">
        <v>16</v>
      </c>
      <c r="C902">
        <v>32</v>
      </c>
      <c r="D902">
        <v>869000</v>
      </c>
      <c r="E902" t="str">
        <f t="shared" si="28"/>
        <v>2024-09</v>
      </c>
      <c r="F902" t="str">
        <f t="shared" si="29"/>
        <v>Tue</v>
      </c>
    </row>
    <row r="903" spans="1:6" x14ac:dyDescent="0.3">
      <c r="A903" s="1">
        <v>45553</v>
      </c>
      <c r="B903" t="s">
        <v>16</v>
      </c>
      <c r="C903">
        <v>34</v>
      </c>
      <c r="D903">
        <v>995000</v>
      </c>
      <c r="E903" t="str">
        <f t="shared" si="28"/>
        <v>2024-09</v>
      </c>
      <c r="F903" t="str">
        <f t="shared" si="29"/>
        <v>Wed</v>
      </c>
    </row>
    <row r="904" spans="1:6" x14ac:dyDescent="0.3">
      <c r="A904" s="1">
        <v>45554</v>
      </c>
      <c r="B904" t="s">
        <v>16</v>
      </c>
      <c r="C904">
        <v>27</v>
      </c>
      <c r="D904">
        <v>794000</v>
      </c>
      <c r="E904" t="str">
        <f t="shared" si="28"/>
        <v>2024-09</v>
      </c>
      <c r="F904" t="str">
        <f t="shared" si="29"/>
        <v>Thu</v>
      </c>
    </row>
    <row r="905" spans="1:6" x14ac:dyDescent="0.3">
      <c r="A905" s="1">
        <v>45555</v>
      </c>
      <c r="B905" t="s">
        <v>16</v>
      </c>
      <c r="C905">
        <v>31</v>
      </c>
      <c r="D905">
        <v>856000</v>
      </c>
      <c r="E905" t="str">
        <f t="shared" si="28"/>
        <v>2024-09</v>
      </c>
      <c r="F905" t="str">
        <f t="shared" si="29"/>
        <v>Fri</v>
      </c>
    </row>
    <row r="906" spans="1:6" x14ac:dyDescent="0.3">
      <c r="A906" s="1">
        <v>45556</v>
      </c>
      <c r="B906" t="s">
        <v>16</v>
      </c>
      <c r="C906">
        <v>24</v>
      </c>
      <c r="D906">
        <v>660000</v>
      </c>
      <c r="E906" t="str">
        <f t="shared" si="28"/>
        <v>2024-09</v>
      </c>
      <c r="F906" t="str">
        <f t="shared" si="29"/>
        <v>Sat</v>
      </c>
    </row>
    <row r="907" spans="1:6" x14ac:dyDescent="0.3">
      <c r="A907" s="1">
        <v>45557</v>
      </c>
      <c r="B907" t="s">
        <v>16</v>
      </c>
      <c r="C907">
        <v>22</v>
      </c>
      <c r="D907">
        <v>577000</v>
      </c>
      <c r="E907" t="str">
        <f t="shared" si="28"/>
        <v>2024-09</v>
      </c>
      <c r="F907" t="str">
        <f t="shared" si="29"/>
        <v>Sun</v>
      </c>
    </row>
    <row r="908" spans="1:6" x14ac:dyDescent="0.3">
      <c r="A908" s="1">
        <v>45558</v>
      </c>
      <c r="B908" t="s">
        <v>16</v>
      </c>
      <c r="C908">
        <v>27</v>
      </c>
      <c r="D908">
        <v>948000</v>
      </c>
      <c r="E908" t="str">
        <f t="shared" si="28"/>
        <v>2024-09</v>
      </c>
      <c r="F908" t="str">
        <f t="shared" si="29"/>
        <v>Mon</v>
      </c>
    </row>
    <row r="909" spans="1:6" x14ac:dyDescent="0.3">
      <c r="A909" s="1">
        <v>45559</v>
      </c>
      <c r="B909" t="s">
        <v>16</v>
      </c>
      <c r="C909">
        <v>33</v>
      </c>
      <c r="D909">
        <v>941000</v>
      </c>
      <c r="E909" t="str">
        <f t="shared" si="28"/>
        <v>2024-09</v>
      </c>
      <c r="F909" t="str">
        <f t="shared" si="29"/>
        <v>Tue</v>
      </c>
    </row>
    <row r="910" spans="1:6" x14ac:dyDescent="0.3">
      <c r="A910" s="1">
        <v>45560</v>
      </c>
      <c r="B910" t="s">
        <v>16</v>
      </c>
      <c r="C910">
        <v>33</v>
      </c>
      <c r="D910">
        <v>1023000</v>
      </c>
      <c r="E910" t="str">
        <f t="shared" si="28"/>
        <v>2024-09</v>
      </c>
      <c r="F910" t="str">
        <f t="shared" si="29"/>
        <v>Wed</v>
      </c>
    </row>
    <row r="911" spans="1:6" x14ac:dyDescent="0.3">
      <c r="A911" s="1">
        <v>45561</v>
      </c>
      <c r="B911" t="s">
        <v>16</v>
      </c>
      <c r="C911">
        <v>34</v>
      </c>
      <c r="D911">
        <v>869000</v>
      </c>
      <c r="E911" t="str">
        <f t="shared" si="28"/>
        <v>2024-09</v>
      </c>
      <c r="F911" t="str">
        <f t="shared" si="29"/>
        <v>Thu</v>
      </c>
    </row>
    <row r="912" spans="1:6" x14ac:dyDescent="0.3">
      <c r="A912" s="1">
        <v>45562</v>
      </c>
      <c r="B912" t="s">
        <v>16</v>
      </c>
      <c r="C912">
        <v>35</v>
      </c>
      <c r="D912">
        <v>894000</v>
      </c>
      <c r="E912" t="str">
        <f t="shared" si="28"/>
        <v>2024-09</v>
      </c>
      <c r="F912" t="str">
        <f t="shared" si="29"/>
        <v>Fri</v>
      </c>
    </row>
    <row r="913" spans="1:6" x14ac:dyDescent="0.3">
      <c r="A913" s="1">
        <v>45563</v>
      </c>
      <c r="B913" t="s">
        <v>16</v>
      </c>
      <c r="C913">
        <v>25</v>
      </c>
      <c r="D913">
        <v>680000</v>
      </c>
      <c r="E913" t="str">
        <f t="shared" si="28"/>
        <v>2024-09</v>
      </c>
      <c r="F913" t="str">
        <f t="shared" si="29"/>
        <v>Sat</v>
      </c>
    </row>
    <row r="914" spans="1:6" x14ac:dyDescent="0.3">
      <c r="A914" s="1">
        <v>45564</v>
      </c>
      <c r="B914" t="s">
        <v>16</v>
      </c>
      <c r="C914">
        <v>19</v>
      </c>
      <c r="D914">
        <v>514000</v>
      </c>
      <c r="E914" t="str">
        <f t="shared" si="28"/>
        <v>2024-09</v>
      </c>
      <c r="F914" t="str">
        <f t="shared" si="29"/>
        <v>Sun</v>
      </c>
    </row>
    <row r="915" spans="1:6" x14ac:dyDescent="0.3">
      <c r="A915" s="1">
        <v>45565</v>
      </c>
      <c r="B915" t="s">
        <v>16</v>
      </c>
      <c r="C915">
        <v>40</v>
      </c>
      <c r="D915">
        <v>1214000</v>
      </c>
      <c r="E915" t="str">
        <f t="shared" si="28"/>
        <v>2024-09</v>
      </c>
      <c r="F915" t="str">
        <f t="shared" si="29"/>
        <v>Mon</v>
      </c>
    </row>
    <row r="916" spans="1:6" x14ac:dyDescent="0.3">
      <c r="A916" s="1">
        <v>45566</v>
      </c>
      <c r="B916" t="s">
        <v>16</v>
      </c>
      <c r="C916">
        <v>35</v>
      </c>
      <c r="D916">
        <v>890000</v>
      </c>
      <c r="E916" t="str">
        <f t="shared" si="28"/>
        <v>2024-10</v>
      </c>
      <c r="F916" t="str">
        <f t="shared" si="29"/>
        <v>Tue</v>
      </c>
    </row>
    <row r="917" spans="1:6" x14ac:dyDescent="0.3">
      <c r="A917" s="1">
        <v>45567</v>
      </c>
      <c r="B917" t="s">
        <v>16</v>
      </c>
      <c r="C917">
        <v>30</v>
      </c>
      <c r="D917">
        <v>887000</v>
      </c>
      <c r="E917" t="str">
        <f t="shared" si="28"/>
        <v>2024-10</v>
      </c>
      <c r="F917" t="str">
        <f t="shared" si="29"/>
        <v>Wed</v>
      </c>
    </row>
    <row r="918" spans="1:6" x14ac:dyDescent="0.3">
      <c r="A918" s="1">
        <v>45568</v>
      </c>
      <c r="B918" t="s">
        <v>16</v>
      </c>
      <c r="C918">
        <v>32</v>
      </c>
      <c r="D918">
        <v>1024000</v>
      </c>
      <c r="E918" t="str">
        <f t="shared" si="28"/>
        <v>2024-10</v>
      </c>
      <c r="F918" t="str">
        <f t="shared" si="29"/>
        <v>Thu</v>
      </c>
    </row>
    <row r="919" spans="1:6" x14ac:dyDescent="0.3">
      <c r="A919" s="1">
        <v>45569</v>
      </c>
      <c r="B919" t="s">
        <v>16</v>
      </c>
      <c r="C919">
        <v>37</v>
      </c>
      <c r="D919">
        <v>947000</v>
      </c>
      <c r="E919" t="str">
        <f t="shared" si="28"/>
        <v>2024-10</v>
      </c>
      <c r="F919" t="str">
        <f t="shared" si="29"/>
        <v>Fri</v>
      </c>
    </row>
    <row r="920" spans="1:6" x14ac:dyDescent="0.3">
      <c r="A920" s="1">
        <v>45570</v>
      </c>
      <c r="B920" t="s">
        <v>16</v>
      </c>
      <c r="C920">
        <v>18</v>
      </c>
      <c r="D920">
        <v>556000</v>
      </c>
      <c r="E920" t="str">
        <f t="shared" si="28"/>
        <v>2024-10</v>
      </c>
      <c r="F920" t="str">
        <f t="shared" si="29"/>
        <v>Sat</v>
      </c>
    </row>
    <row r="921" spans="1:6" x14ac:dyDescent="0.3">
      <c r="A921" s="1">
        <v>45571</v>
      </c>
      <c r="B921" t="s">
        <v>16</v>
      </c>
      <c r="C921">
        <v>27</v>
      </c>
      <c r="D921">
        <v>700000</v>
      </c>
      <c r="E921" t="str">
        <f t="shared" si="28"/>
        <v>2024-10</v>
      </c>
      <c r="F921" t="str">
        <f t="shared" si="29"/>
        <v>Sun</v>
      </c>
    </row>
    <row r="922" spans="1:6" x14ac:dyDescent="0.3">
      <c r="A922" s="1">
        <v>45572</v>
      </c>
      <c r="B922" t="s">
        <v>16</v>
      </c>
      <c r="C922">
        <v>35</v>
      </c>
      <c r="D922">
        <v>1026000</v>
      </c>
      <c r="E922" t="str">
        <f t="shared" si="28"/>
        <v>2024-10</v>
      </c>
      <c r="F922" t="str">
        <f t="shared" si="29"/>
        <v>Mon</v>
      </c>
    </row>
    <row r="923" spans="1:6" x14ac:dyDescent="0.3">
      <c r="A923" s="1">
        <v>45573</v>
      </c>
      <c r="B923" t="s">
        <v>16</v>
      </c>
      <c r="C923">
        <v>31</v>
      </c>
      <c r="D923">
        <v>914000</v>
      </c>
      <c r="E923" t="str">
        <f t="shared" si="28"/>
        <v>2024-10</v>
      </c>
      <c r="F923" t="str">
        <f t="shared" si="29"/>
        <v>Tue</v>
      </c>
    </row>
    <row r="924" spans="1:6" x14ac:dyDescent="0.3">
      <c r="A924" s="1">
        <v>45574</v>
      </c>
      <c r="B924" t="s">
        <v>16</v>
      </c>
      <c r="C924">
        <v>29</v>
      </c>
      <c r="D924">
        <v>929000</v>
      </c>
      <c r="E924" t="str">
        <f t="shared" si="28"/>
        <v>2024-10</v>
      </c>
      <c r="F924" t="str">
        <f t="shared" si="29"/>
        <v>Wed</v>
      </c>
    </row>
    <row r="925" spans="1:6" x14ac:dyDescent="0.3">
      <c r="A925" s="1">
        <v>45575</v>
      </c>
      <c r="B925" t="s">
        <v>16</v>
      </c>
      <c r="C925">
        <v>38</v>
      </c>
      <c r="D925">
        <v>996000</v>
      </c>
      <c r="E925" t="str">
        <f t="shared" si="28"/>
        <v>2024-10</v>
      </c>
      <c r="F925" t="str">
        <f t="shared" si="29"/>
        <v>Thu</v>
      </c>
    </row>
    <row r="926" spans="1:6" x14ac:dyDescent="0.3">
      <c r="A926" s="1">
        <v>45576</v>
      </c>
      <c r="B926" t="s">
        <v>16</v>
      </c>
      <c r="C926">
        <v>31</v>
      </c>
      <c r="D926">
        <v>876000</v>
      </c>
      <c r="E926" t="str">
        <f t="shared" si="28"/>
        <v>2024-10</v>
      </c>
      <c r="F926" t="str">
        <f t="shared" si="29"/>
        <v>Fri</v>
      </c>
    </row>
    <row r="927" spans="1:6" x14ac:dyDescent="0.3">
      <c r="A927" s="1">
        <v>45577</v>
      </c>
      <c r="B927" t="s">
        <v>16</v>
      </c>
      <c r="C927">
        <v>22</v>
      </c>
      <c r="D927">
        <v>691000</v>
      </c>
      <c r="E927" t="str">
        <f t="shared" si="28"/>
        <v>2024-10</v>
      </c>
      <c r="F927" t="str">
        <f t="shared" si="29"/>
        <v>Sat</v>
      </c>
    </row>
    <row r="928" spans="1:6" x14ac:dyDescent="0.3">
      <c r="A928" s="1">
        <v>45578</v>
      </c>
      <c r="B928" t="s">
        <v>16</v>
      </c>
      <c r="C928">
        <v>27</v>
      </c>
      <c r="D928">
        <v>677000</v>
      </c>
      <c r="E928" t="str">
        <f t="shared" si="28"/>
        <v>2024-10</v>
      </c>
      <c r="F928" t="str">
        <f t="shared" si="29"/>
        <v>Sun</v>
      </c>
    </row>
    <row r="929" spans="1:6" x14ac:dyDescent="0.3">
      <c r="A929" s="1">
        <v>45579</v>
      </c>
      <c r="B929" t="s">
        <v>16</v>
      </c>
      <c r="C929">
        <v>32</v>
      </c>
      <c r="D929">
        <v>898000</v>
      </c>
      <c r="E929" t="str">
        <f t="shared" si="28"/>
        <v>2024-10</v>
      </c>
      <c r="F929" t="str">
        <f t="shared" si="29"/>
        <v>Mon</v>
      </c>
    </row>
    <row r="930" spans="1:6" x14ac:dyDescent="0.3">
      <c r="A930" s="1">
        <v>45580</v>
      </c>
      <c r="B930" t="s">
        <v>16</v>
      </c>
      <c r="C930">
        <v>32</v>
      </c>
      <c r="D930">
        <v>837000</v>
      </c>
      <c r="E930" t="str">
        <f t="shared" si="28"/>
        <v>2024-10</v>
      </c>
      <c r="F930" t="str">
        <f t="shared" si="29"/>
        <v>Tue</v>
      </c>
    </row>
    <row r="931" spans="1:6" x14ac:dyDescent="0.3">
      <c r="A931" s="1">
        <v>45581</v>
      </c>
      <c r="B931" t="s">
        <v>16</v>
      </c>
      <c r="C931">
        <v>36</v>
      </c>
      <c r="D931">
        <v>938000</v>
      </c>
      <c r="E931" t="str">
        <f t="shared" si="28"/>
        <v>2024-10</v>
      </c>
      <c r="F931" t="str">
        <f t="shared" si="29"/>
        <v>Wed</v>
      </c>
    </row>
    <row r="932" spans="1:6" x14ac:dyDescent="0.3">
      <c r="A932" s="1">
        <v>45582</v>
      </c>
      <c r="B932" t="s">
        <v>16</v>
      </c>
      <c r="C932">
        <v>30</v>
      </c>
      <c r="D932">
        <v>882000</v>
      </c>
      <c r="E932" t="str">
        <f t="shared" si="28"/>
        <v>2024-10</v>
      </c>
      <c r="F932" t="str">
        <f t="shared" si="29"/>
        <v>Thu</v>
      </c>
    </row>
    <row r="933" spans="1:6" x14ac:dyDescent="0.3">
      <c r="A933" s="1">
        <v>45583</v>
      </c>
      <c r="B933" t="s">
        <v>16</v>
      </c>
      <c r="C933">
        <v>35</v>
      </c>
      <c r="D933">
        <v>1045000</v>
      </c>
      <c r="E933" t="str">
        <f t="shared" si="28"/>
        <v>2024-10</v>
      </c>
      <c r="F933" t="str">
        <f t="shared" si="29"/>
        <v>Fri</v>
      </c>
    </row>
    <row r="934" spans="1:6" x14ac:dyDescent="0.3">
      <c r="A934" s="1">
        <v>45584</v>
      </c>
      <c r="B934" t="s">
        <v>16</v>
      </c>
      <c r="C934">
        <v>20</v>
      </c>
      <c r="D934">
        <v>676000</v>
      </c>
      <c r="E934" t="str">
        <f t="shared" si="28"/>
        <v>2024-10</v>
      </c>
      <c r="F934" t="str">
        <f t="shared" si="29"/>
        <v>Sat</v>
      </c>
    </row>
    <row r="935" spans="1:6" x14ac:dyDescent="0.3">
      <c r="A935" s="1">
        <v>45585</v>
      </c>
      <c r="B935" t="s">
        <v>16</v>
      </c>
      <c r="C935">
        <v>23</v>
      </c>
      <c r="D935">
        <v>715000</v>
      </c>
      <c r="E935" t="str">
        <f t="shared" si="28"/>
        <v>2024-10</v>
      </c>
      <c r="F935" t="str">
        <f t="shared" si="29"/>
        <v>Sun</v>
      </c>
    </row>
    <row r="936" spans="1:6" x14ac:dyDescent="0.3">
      <c r="A936" s="1">
        <v>45586</v>
      </c>
      <c r="B936" t="s">
        <v>16</v>
      </c>
      <c r="C936">
        <v>31</v>
      </c>
      <c r="D936">
        <v>971000</v>
      </c>
      <c r="E936" t="str">
        <f t="shared" si="28"/>
        <v>2024-10</v>
      </c>
      <c r="F936" t="str">
        <f t="shared" si="29"/>
        <v>Mon</v>
      </c>
    </row>
    <row r="937" spans="1:6" x14ac:dyDescent="0.3">
      <c r="A937" s="1">
        <v>45587</v>
      </c>
      <c r="B937" t="s">
        <v>16</v>
      </c>
      <c r="C937">
        <v>35</v>
      </c>
      <c r="D937">
        <v>983000</v>
      </c>
      <c r="E937" t="str">
        <f t="shared" si="28"/>
        <v>2024-10</v>
      </c>
      <c r="F937" t="str">
        <f t="shared" si="29"/>
        <v>Tue</v>
      </c>
    </row>
    <row r="938" spans="1:6" x14ac:dyDescent="0.3">
      <c r="A938" s="1">
        <v>45588</v>
      </c>
      <c r="B938" t="s">
        <v>16</v>
      </c>
      <c r="C938">
        <v>33</v>
      </c>
      <c r="D938">
        <v>893000</v>
      </c>
      <c r="E938" t="str">
        <f t="shared" si="28"/>
        <v>2024-10</v>
      </c>
      <c r="F938" t="str">
        <f t="shared" si="29"/>
        <v>Wed</v>
      </c>
    </row>
    <row r="939" spans="1:6" x14ac:dyDescent="0.3">
      <c r="A939" s="1">
        <v>45589</v>
      </c>
      <c r="B939" t="s">
        <v>16</v>
      </c>
      <c r="C939">
        <v>36</v>
      </c>
      <c r="D939">
        <v>1019000</v>
      </c>
      <c r="E939" t="str">
        <f t="shared" si="28"/>
        <v>2024-10</v>
      </c>
      <c r="F939" t="str">
        <f t="shared" si="29"/>
        <v>Thu</v>
      </c>
    </row>
    <row r="940" spans="1:6" x14ac:dyDescent="0.3">
      <c r="A940" s="1">
        <v>45590</v>
      </c>
      <c r="B940" t="s">
        <v>16</v>
      </c>
      <c r="C940">
        <v>50</v>
      </c>
      <c r="D940">
        <v>1116000</v>
      </c>
      <c r="E940" t="str">
        <f t="shared" si="28"/>
        <v>2024-10</v>
      </c>
      <c r="F940" t="str">
        <f t="shared" si="29"/>
        <v>Fri</v>
      </c>
    </row>
    <row r="941" spans="1:6" x14ac:dyDescent="0.3">
      <c r="A941" s="1">
        <v>45591</v>
      </c>
      <c r="B941" t="s">
        <v>16</v>
      </c>
      <c r="C941">
        <v>20</v>
      </c>
      <c r="D941">
        <v>652000</v>
      </c>
      <c r="E941" t="str">
        <f t="shared" si="28"/>
        <v>2024-10</v>
      </c>
      <c r="F941" t="str">
        <f t="shared" si="29"/>
        <v>Sat</v>
      </c>
    </row>
    <row r="942" spans="1:6" x14ac:dyDescent="0.3">
      <c r="A942" s="1">
        <v>45592</v>
      </c>
      <c r="B942" t="s">
        <v>16</v>
      </c>
      <c r="C942">
        <v>24</v>
      </c>
      <c r="D942">
        <v>635000</v>
      </c>
      <c r="E942" t="str">
        <f t="shared" si="28"/>
        <v>2024-10</v>
      </c>
      <c r="F942" t="str">
        <f t="shared" si="29"/>
        <v>Sun</v>
      </c>
    </row>
    <row r="943" spans="1:6" x14ac:dyDescent="0.3">
      <c r="A943" s="1">
        <v>45593</v>
      </c>
      <c r="B943" t="s">
        <v>16</v>
      </c>
      <c r="C943">
        <v>37</v>
      </c>
      <c r="D943">
        <v>950000</v>
      </c>
      <c r="E943" t="str">
        <f t="shared" si="28"/>
        <v>2024-10</v>
      </c>
      <c r="F943" t="str">
        <f t="shared" si="29"/>
        <v>Mon</v>
      </c>
    </row>
    <row r="944" spans="1:6" x14ac:dyDescent="0.3">
      <c r="A944" s="1">
        <v>45594</v>
      </c>
      <c r="B944" t="s">
        <v>16</v>
      </c>
      <c r="C944">
        <v>34</v>
      </c>
      <c r="D944">
        <v>922000</v>
      </c>
      <c r="E944" t="str">
        <f t="shared" si="28"/>
        <v>2024-10</v>
      </c>
      <c r="F944" t="str">
        <f t="shared" si="29"/>
        <v>Tue</v>
      </c>
    </row>
    <row r="945" spans="1:6" x14ac:dyDescent="0.3">
      <c r="A945" s="1">
        <v>45595</v>
      </c>
      <c r="B945" t="s">
        <v>16</v>
      </c>
      <c r="C945">
        <v>30</v>
      </c>
      <c r="D945">
        <v>904000</v>
      </c>
      <c r="E945" t="str">
        <f t="shared" si="28"/>
        <v>2024-10</v>
      </c>
      <c r="F945" t="str">
        <f t="shared" si="29"/>
        <v>Wed</v>
      </c>
    </row>
    <row r="946" spans="1:6" x14ac:dyDescent="0.3">
      <c r="A946" s="1">
        <v>45596</v>
      </c>
      <c r="B946" t="s">
        <v>16</v>
      </c>
      <c r="C946">
        <v>31</v>
      </c>
      <c r="D946">
        <v>977000</v>
      </c>
      <c r="E946" t="str">
        <f t="shared" si="28"/>
        <v>2024-10</v>
      </c>
      <c r="F946" t="str">
        <f t="shared" si="29"/>
        <v>Thu</v>
      </c>
    </row>
    <row r="947" spans="1:6" x14ac:dyDescent="0.3">
      <c r="A947" s="1">
        <v>45597</v>
      </c>
      <c r="B947" t="s">
        <v>16</v>
      </c>
      <c r="C947">
        <v>35</v>
      </c>
      <c r="D947">
        <v>940000</v>
      </c>
      <c r="E947" t="str">
        <f t="shared" si="28"/>
        <v>2024-11</v>
      </c>
      <c r="F947" t="str">
        <f t="shared" si="29"/>
        <v>Fri</v>
      </c>
    </row>
    <row r="948" spans="1:6" x14ac:dyDescent="0.3">
      <c r="A948" s="1">
        <v>45598</v>
      </c>
      <c r="B948" t="s">
        <v>16</v>
      </c>
      <c r="C948">
        <v>26</v>
      </c>
      <c r="D948">
        <v>760000</v>
      </c>
      <c r="E948" t="str">
        <f t="shared" si="28"/>
        <v>2024-11</v>
      </c>
      <c r="F948" t="str">
        <f t="shared" si="29"/>
        <v>Sat</v>
      </c>
    </row>
    <row r="949" spans="1:6" x14ac:dyDescent="0.3">
      <c r="A949" s="1">
        <v>45599</v>
      </c>
      <c r="B949" t="s">
        <v>16</v>
      </c>
      <c r="C949">
        <v>24</v>
      </c>
      <c r="D949">
        <v>673000</v>
      </c>
      <c r="E949" t="str">
        <f t="shared" si="28"/>
        <v>2024-11</v>
      </c>
      <c r="F949" t="str">
        <f t="shared" si="29"/>
        <v>Sun</v>
      </c>
    </row>
    <row r="950" spans="1:6" x14ac:dyDescent="0.3">
      <c r="A950" s="1">
        <v>45600</v>
      </c>
      <c r="B950" t="s">
        <v>16</v>
      </c>
      <c r="C950">
        <v>39</v>
      </c>
      <c r="D950">
        <v>995000</v>
      </c>
      <c r="E950" t="str">
        <f t="shared" si="28"/>
        <v>2024-11</v>
      </c>
      <c r="F950" t="str">
        <f t="shared" si="29"/>
        <v>Mon</v>
      </c>
    </row>
    <row r="951" spans="1:6" x14ac:dyDescent="0.3">
      <c r="A951" s="1">
        <v>45601</v>
      </c>
      <c r="B951" t="s">
        <v>16</v>
      </c>
      <c r="C951">
        <v>37</v>
      </c>
      <c r="D951">
        <v>1050000</v>
      </c>
      <c r="E951" t="str">
        <f t="shared" si="28"/>
        <v>2024-11</v>
      </c>
      <c r="F951" t="str">
        <f t="shared" si="29"/>
        <v>Tue</v>
      </c>
    </row>
    <row r="952" spans="1:6" x14ac:dyDescent="0.3">
      <c r="A952" s="1">
        <v>45602</v>
      </c>
      <c r="B952" t="s">
        <v>16</v>
      </c>
      <c r="C952">
        <v>33</v>
      </c>
      <c r="D952">
        <v>942000</v>
      </c>
      <c r="E952" t="str">
        <f t="shared" si="28"/>
        <v>2024-11</v>
      </c>
      <c r="F952" t="str">
        <f t="shared" si="29"/>
        <v>Wed</v>
      </c>
    </row>
    <row r="953" spans="1:6" x14ac:dyDescent="0.3">
      <c r="A953" s="1">
        <v>45603</v>
      </c>
      <c r="B953" t="s">
        <v>16</v>
      </c>
      <c r="C953">
        <v>45</v>
      </c>
      <c r="D953">
        <v>1094000</v>
      </c>
      <c r="E953" t="str">
        <f t="shared" si="28"/>
        <v>2024-11</v>
      </c>
      <c r="F953" t="str">
        <f t="shared" si="29"/>
        <v>Thu</v>
      </c>
    </row>
    <row r="954" spans="1:6" x14ac:dyDescent="0.3">
      <c r="A954" s="1">
        <v>45604</v>
      </c>
      <c r="B954" t="s">
        <v>16</v>
      </c>
      <c r="C954">
        <v>30</v>
      </c>
      <c r="D954">
        <v>914000</v>
      </c>
      <c r="E954" t="str">
        <f t="shared" si="28"/>
        <v>2024-11</v>
      </c>
      <c r="F954" t="str">
        <f t="shared" si="29"/>
        <v>Fri</v>
      </c>
    </row>
    <row r="955" spans="1:6" x14ac:dyDescent="0.3">
      <c r="A955" s="1">
        <v>45605</v>
      </c>
      <c r="B955" t="s">
        <v>16</v>
      </c>
      <c r="C955">
        <v>26</v>
      </c>
      <c r="D955">
        <v>626000</v>
      </c>
      <c r="E955" t="str">
        <f t="shared" si="28"/>
        <v>2024-11</v>
      </c>
      <c r="F955" t="str">
        <f t="shared" si="29"/>
        <v>Sat</v>
      </c>
    </row>
    <row r="956" spans="1:6" x14ac:dyDescent="0.3">
      <c r="A956" s="1">
        <v>45606</v>
      </c>
      <c r="B956" t="s">
        <v>16</v>
      </c>
      <c r="C956">
        <v>23</v>
      </c>
      <c r="D956">
        <v>653000</v>
      </c>
      <c r="E956" t="str">
        <f t="shared" si="28"/>
        <v>2024-11</v>
      </c>
      <c r="F956" t="str">
        <f t="shared" si="29"/>
        <v>Sun</v>
      </c>
    </row>
    <row r="957" spans="1:6" x14ac:dyDescent="0.3">
      <c r="A957" s="1">
        <v>45607</v>
      </c>
      <c r="B957" t="s">
        <v>16</v>
      </c>
      <c r="C957">
        <v>38</v>
      </c>
      <c r="D957">
        <v>961000</v>
      </c>
      <c r="E957" t="str">
        <f t="shared" si="28"/>
        <v>2024-11</v>
      </c>
      <c r="F957" t="str">
        <f t="shared" si="29"/>
        <v>Mon</v>
      </c>
    </row>
    <row r="958" spans="1:6" x14ac:dyDescent="0.3">
      <c r="A958" s="1">
        <v>45608</v>
      </c>
      <c r="B958" t="s">
        <v>16</v>
      </c>
      <c r="C958">
        <v>33</v>
      </c>
      <c r="D958">
        <v>849000</v>
      </c>
      <c r="E958" t="str">
        <f t="shared" si="28"/>
        <v>2024-11</v>
      </c>
      <c r="F958" t="str">
        <f t="shared" si="29"/>
        <v>Tue</v>
      </c>
    </row>
    <row r="959" spans="1:6" x14ac:dyDescent="0.3">
      <c r="A959" s="1">
        <v>45609</v>
      </c>
      <c r="B959" t="s">
        <v>16</v>
      </c>
      <c r="C959">
        <v>37</v>
      </c>
      <c r="D959">
        <v>969000</v>
      </c>
      <c r="E959" t="str">
        <f t="shared" si="28"/>
        <v>2024-11</v>
      </c>
      <c r="F959" t="str">
        <f t="shared" si="29"/>
        <v>Wed</v>
      </c>
    </row>
    <row r="960" spans="1:6" x14ac:dyDescent="0.3">
      <c r="A960" s="1">
        <v>45610</v>
      </c>
      <c r="B960" t="s">
        <v>16</v>
      </c>
      <c r="C960">
        <v>28</v>
      </c>
      <c r="D960">
        <v>826000</v>
      </c>
      <c r="E960" t="str">
        <f t="shared" si="28"/>
        <v>2024-11</v>
      </c>
      <c r="F960" t="str">
        <f t="shared" si="29"/>
        <v>Thu</v>
      </c>
    </row>
    <row r="961" spans="1:6" x14ac:dyDescent="0.3">
      <c r="A961" s="1">
        <v>45611</v>
      </c>
      <c r="B961" t="s">
        <v>16</v>
      </c>
      <c r="C961">
        <v>44</v>
      </c>
      <c r="D961">
        <v>1095000</v>
      </c>
      <c r="E961" t="str">
        <f t="shared" si="28"/>
        <v>2024-11</v>
      </c>
      <c r="F961" t="str">
        <f t="shared" si="29"/>
        <v>Fri</v>
      </c>
    </row>
    <row r="962" spans="1:6" x14ac:dyDescent="0.3">
      <c r="A962" s="1">
        <v>45612</v>
      </c>
      <c r="B962" t="s">
        <v>16</v>
      </c>
      <c r="C962">
        <v>24</v>
      </c>
      <c r="D962">
        <v>673000</v>
      </c>
      <c r="E962" t="str">
        <f t="shared" ref="E962:E1025" si="30">TEXT(A962,"yyyy-mm")</f>
        <v>2024-11</v>
      </c>
      <c r="F962" t="str">
        <f t="shared" ref="F962:F1025" si="31">TEXT(A962,"ddd")</f>
        <v>Sat</v>
      </c>
    </row>
    <row r="963" spans="1:6" x14ac:dyDescent="0.3">
      <c r="A963" s="1">
        <v>45613</v>
      </c>
      <c r="B963" t="s">
        <v>16</v>
      </c>
      <c r="C963">
        <v>20</v>
      </c>
      <c r="D963">
        <v>639000</v>
      </c>
      <c r="E963" t="str">
        <f t="shared" si="30"/>
        <v>2024-11</v>
      </c>
      <c r="F963" t="str">
        <f t="shared" si="31"/>
        <v>Sun</v>
      </c>
    </row>
    <row r="964" spans="1:6" x14ac:dyDescent="0.3">
      <c r="A964" s="1">
        <v>45614</v>
      </c>
      <c r="B964" t="s">
        <v>16</v>
      </c>
      <c r="C964">
        <v>34</v>
      </c>
      <c r="D964">
        <v>895000</v>
      </c>
      <c r="E964" t="str">
        <f t="shared" si="30"/>
        <v>2024-11</v>
      </c>
      <c r="F964" t="str">
        <f t="shared" si="31"/>
        <v>Mon</v>
      </c>
    </row>
    <row r="965" spans="1:6" x14ac:dyDescent="0.3">
      <c r="A965" s="1">
        <v>45615</v>
      </c>
      <c r="B965" t="s">
        <v>16</v>
      </c>
      <c r="C965">
        <v>34</v>
      </c>
      <c r="D965">
        <v>941000</v>
      </c>
      <c r="E965" t="str">
        <f t="shared" si="30"/>
        <v>2024-11</v>
      </c>
      <c r="F965" t="str">
        <f t="shared" si="31"/>
        <v>Tue</v>
      </c>
    </row>
    <row r="966" spans="1:6" x14ac:dyDescent="0.3">
      <c r="A966" s="1">
        <v>45616</v>
      </c>
      <c r="B966" t="s">
        <v>16</v>
      </c>
      <c r="C966">
        <v>32</v>
      </c>
      <c r="D966">
        <v>956000</v>
      </c>
      <c r="E966" t="str">
        <f t="shared" si="30"/>
        <v>2024-11</v>
      </c>
      <c r="F966" t="str">
        <f t="shared" si="31"/>
        <v>Wed</v>
      </c>
    </row>
    <row r="967" spans="1:6" x14ac:dyDescent="0.3">
      <c r="A967" s="1">
        <v>45617</v>
      </c>
      <c r="B967" t="s">
        <v>16</v>
      </c>
      <c r="C967">
        <v>33</v>
      </c>
      <c r="D967">
        <v>884000</v>
      </c>
      <c r="E967" t="str">
        <f t="shared" si="30"/>
        <v>2024-11</v>
      </c>
      <c r="F967" t="str">
        <f t="shared" si="31"/>
        <v>Thu</v>
      </c>
    </row>
    <row r="968" spans="1:6" x14ac:dyDescent="0.3">
      <c r="A968" s="1">
        <v>45618</v>
      </c>
      <c r="B968" t="s">
        <v>16</v>
      </c>
      <c r="C968">
        <v>31</v>
      </c>
      <c r="D968">
        <v>896000</v>
      </c>
      <c r="E968" t="str">
        <f t="shared" si="30"/>
        <v>2024-11</v>
      </c>
      <c r="F968" t="str">
        <f t="shared" si="31"/>
        <v>Fri</v>
      </c>
    </row>
    <row r="969" spans="1:6" x14ac:dyDescent="0.3">
      <c r="A969" s="1">
        <v>45619</v>
      </c>
      <c r="B969" t="s">
        <v>16</v>
      </c>
      <c r="C969">
        <v>25</v>
      </c>
      <c r="D969">
        <v>669000</v>
      </c>
      <c r="E969" t="str">
        <f t="shared" si="30"/>
        <v>2024-11</v>
      </c>
      <c r="F969" t="str">
        <f t="shared" si="31"/>
        <v>Sat</v>
      </c>
    </row>
    <row r="970" spans="1:6" x14ac:dyDescent="0.3">
      <c r="A970" s="1">
        <v>45620</v>
      </c>
      <c r="B970" t="s">
        <v>16</v>
      </c>
      <c r="C970">
        <v>22</v>
      </c>
      <c r="D970">
        <v>649000</v>
      </c>
      <c r="E970" t="str">
        <f t="shared" si="30"/>
        <v>2024-11</v>
      </c>
      <c r="F970" t="str">
        <f t="shared" si="31"/>
        <v>Sun</v>
      </c>
    </row>
    <row r="971" spans="1:6" x14ac:dyDescent="0.3">
      <c r="A971" s="1">
        <v>45621</v>
      </c>
      <c r="B971" t="s">
        <v>16</v>
      </c>
      <c r="C971">
        <v>38</v>
      </c>
      <c r="D971">
        <v>1061000</v>
      </c>
      <c r="E971" t="str">
        <f t="shared" si="30"/>
        <v>2024-11</v>
      </c>
      <c r="F971" t="str">
        <f t="shared" si="31"/>
        <v>Mon</v>
      </c>
    </row>
    <row r="972" spans="1:6" x14ac:dyDescent="0.3">
      <c r="A972" s="1">
        <v>45622</v>
      </c>
      <c r="B972" t="s">
        <v>16</v>
      </c>
      <c r="C972">
        <v>42</v>
      </c>
      <c r="D972">
        <v>1079000</v>
      </c>
      <c r="E972" t="str">
        <f t="shared" si="30"/>
        <v>2024-11</v>
      </c>
      <c r="F972" t="str">
        <f t="shared" si="31"/>
        <v>Tue</v>
      </c>
    </row>
    <row r="973" spans="1:6" x14ac:dyDescent="0.3">
      <c r="A973" s="1">
        <v>45623</v>
      </c>
      <c r="B973" t="s">
        <v>16</v>
      </c>
      <c r="C973">
        <v>31</v>
      </c>
      <c r="D973">
        <v>980000</v>
      </c>
      <c r="E973" t="str">
        <f t="shared" si="30"/>
        <v>2024-11</v>
      </c>
      <c r="F973" t="str">
        <f t="shared" si="31"/>
        <v>Wed</v>
      </c>
    </row>
    <row r="974" spans="1:6" x14ac:dyDescent="0.3">
      <c r="A974" s="1">
        <v>45624</v>
      </c>
      <c r="B974" t="s">
        <v>16</v>
      </c>
      <c r="C974">
        <v>37</v>
      </c>
      <c r="D974">
        <v>1021000</v>
      </c>
      <c r="E974" t="str">
        <f t="shared" si="30"/>
        <v>2024-11</v>
      </c>
      <c r="F974" t="str">
        <f t="shared" si="31"/>
        <v>Thu</v>
      </c>
    </row>
    <row r="975" spans="1:6" x14ac:dyDescent="0.3">
      <c r="A975" s="1">
        <v>45625</v>
      </c>
      <c r="B975" t="s">
        <v>16</v>
      </c>
      <c r="C975">
        <v>32</v>
      </c>
      <c r="D975">
        <v>862000</v>
      </c>
      <c r="E975" t="str">
        <f t="shared" si="30"/>
        <v>2024-11</v>
      </c>
      <c r="F975" t="str">
        <f t="shared" si="31"/>
        <v>Fri</v>
      </c>
    </row>
    <row r="976" spans="1:6" x14ac:dyDescent="0.3">
      <c r="A976" s="1">
        <v>45626</v>
      </c>
      <c r="B976" t="s">
        <v>16</v>
      </c>
      <c r="C976">
        <v>28</v>
      </c>
      <c r="D976">
        <v>722000</v>
      </c>
      <c r="E976" t="str">
        <f t="shared" si="30"/>
        <v>2024-11</v>
      </c>
      <c r="F976" t="str">
        <f t="shared" si="31"/>
        <v>Sat</v>
      </c>
    </row>
    <row r="977" spans="1:6" x14ac:dyDescent="0.3">
      <c r="A977" s="1">
        <v>45627</v>
      </c>
      <c r="B977" t="s">
        <v>16</v>
      </c>
      <c r="C977">
        <v>30</v>
      </c>
      <c r="D977">
        <v>818000</v>
      </c>
      <c r="E977" t="str">
        <f t="shared" si="30"/>
        <v>2024-12</v>
      </c>
      <c r="F977" t="str">
        <f t="shared" si="31"/>
        <v>Sun</v>
      </c>
    </row>
    <row r="978" spans="1:6" x14ac:dyDescent="0.3">
      <c r="A978" s="1">
        <v>45628</v>
      </c>
      <c r="B978" t="s">
        <v>16</v>
      </c>
      <c r="C978">
        <v>44</v>
      </c>
      <c r="D978">
        <v>1229000</v>
      </c>
      <c r="E978" t="str">
        <f t="shared" si="30"/>
        <v>2024-12</v>
      </c>
      <c r="F978" t="str">
        <f t="shared" si="31"/>
        <v>Mon</v>
      </c>
    </row>
    <row r="979" spans="1:6" x14ac:dyDescent="0.3">
      <c r="A979" s="1">
        <v>45629</v>
      </c>
      <c r="B979" t="s">
        <v>16</v>
      </c>
      <c r="C979">
        <v>47</v>
      </c>
      <c r="D979">
        <v>1348000</v>
      </c>
      <c r="E979" t="str">
        <f t="shared" si="30"/>
        <v>2024-12</v>
      </c>
      <c r="F979" t="str">
        <f t="shared" si="31"/>
        <v>Tue</v>
      </c>
    </row>
    <row r="980" spans="1:6" x14ac:dyDescent="0.3">
      <c r="A980" s="1">
        <v>45630</v>
      </c>
      <c r="B980" t="s">
        <v>16</v>
      </c>
      <c r="C980">
        <v>30</v>
      </c>
      <c r="D980">
        <v>937000</v>
      </c>
      <c r="E980" t="str">
        <f t="shared" si="30"/>
        <v>2024-12</v>
      </c>
      <c r="F980" t="str">
        <f t="shared" si="31"/>
        <v>Wed</v>
      </c>
    </row>
    <row r="981" spans="1:6" x14ac:dyDescent="0.3">
      <c r="A981" s="1">
        <v>45631</v>
      </c>
      <c r="B981" t="s">
        <v>16</v>
      </c>
      <c r="C981">
        <v>49</v>
      </c>
      <c r="D981">
        <v>1208000</v>
      </c>
      <c r="E981" t="str">
        <f t="shared" si="30"/>
        <v>2024-12</v>
      </c>
      <c r="F981" t="str">
        <f t="shared" si="31"/>
        <v>Thu</v>
      </c>
    </row>
    <row r="982" spans="1:6" x14ac:dyDescent="0.3">
      <c r="A982" s="1">
        <v>45632</v>
      </c>
      <c r="B982" t="s">
        <v>16</v>
      </c>
      <c r="C982">
        <v>39</v>
      </c>
      <c r="D982">
        <v>1064000</v>
      </c>
      <c r="E982" t="str">
        <f t="shared" si="30"/>
        <v>2024-12</v>
      </c>
      <c r="F982" t="str">
        <f t="shared" si="31"/>
        <v>Fri</v>
      </c>
    </row>
    <row r="983" spans="1:6" x14ac:dyDescent="0.3">
      <c r="A983" s="1">
        <v>45633</v>
      </c>
      <c r="B983" t="s">
        <v>16</v>
      </c>
      <c r="C983">
        <v>28</v>
      </c>
      <c r="D983">
        <v>866000</v>
      </c>
      <c r="E983" t="str">
        <f t="shared" si="30"/>
        <v>2024-12</v>
      </c>
      <c r="F983" t="str">
        <f t="shared" si="31"/>
        <v>Sat</v>
      </c>
    </row>
    <row r="984" spans="1:6" x14ac:dyDescent="0.3">
      <c r="A984" s="1">
        <v>45634</v>
      </c>
      <c r="B984" t="s">
        <v>16</v>
      </c>
      <c r="C984">
        <v>25</v>
      </c>
      <c r="D984">
        <v>726000</v>
      </c>
      <c r="E984" t="str">
        <f t="shared" si="30"/>
        <v>2024-12</v>
      </c>
      <c r="F984" t="str">
        <f t="shared" si="31"/>
        <v>Sun</v>
      </c>
    </row>
    <row r="985" spans="1:6" x14ac:dyDescent="0.3">
      <c r="A985" s="1">
        <v>45635</v>
      </c>
      <c r="B985" t="s">
        <v>16</v>
      </c>
      <c r="C985">
        <v>39</v>
      </c>
      <c r="D985">
        <v>1130000</v>
      </c>
      <c r="E985" t="str">
        <f t="shared" si="30"/>
        <v>2024-12</v>
      </c>
      <c r="F985" t="str">
        <f t="shared" si="31"/>
        <v>Mon</v>
      </c>
    </row>
    <row r="986" spans="1:6" x14ac:dyDescent="0.3">
      <c r="A986" s="1">
        <v>45636</v>
      </c>
      <c r="B986" t="s">
        <v>16</v>
      </c>
      <c r="C986">
        <v>38</v>
      </c>
      <c r="D986">
        <v>1205000</v>
      </c>
      <c r="E986" t="str">
        <f t="shared" si="30"/>
        <v>2024-12</v>
      </c>
      <c r="F986" t="str">
        <f t="shared" si="31"/>
        <v>Tue</v>
      </c>
    </row>
    <row r="987" spans="1:6" x14ac:dyDescent="0.3">
      <c r="A987" s="1">
        <v>45637</v>
      </c>
      <c r="B987" t="s">
        <v>16</v>
      </c>
      <c r="C987">
        <v>43</v>
      </c>
      <c r="D987">
        <v>1249000</v>
      </c>
      <c r="E987" t="str">
        <f t="shared" si="30"/>
        <v>2024-12</v>
      </c>
      <c r="F987" t="str">
        <f t="shared" si="31"/>
        <v>Wed</v>
      </c>
    </row>
    <row r="988" spans="1:6" x14ac:dyDescent="0.3">
      <c r="A988" s="1">
        <v>45638</v>
      </c>
      <c r="B988" t="s">
        <v>16</v>
      </c>
      <c r="C988">
        <v>41</v>
      </c>
      <c r="D988">
        <v>1192000</v>
      </c>
      <c r="E988" t="str">
        <f t="shared" si="30"/>
        <v>2024-12</v>
      </c>
      <c r="F988" t="str">
        <f t="shared" si="31"/>
        <v>Thu</v>
      </c>
    </row>
    <row r="989" spans="1:6" x14ac:dyDescent="0.3">
      <c r="A989" s="1">
        <v>45639</v>
      </c>
      <c r="B989" t="s">
        <v>16</v>
      </c>
      <c r="C989">
        <v>39</v>
      </c>
      <c r="D989">
        <v>1100000</v>
      </c>
      <c r="E989" t="str">
        <f t="shared" si="30"/>
        <v>2024-12</v>
      </c>
      <c r="F989" t="str">
        <f t="shared" si="31"/>
        <v>Fri</v>
      </c>
    </row>
    <row r="990" spans="1:6" x14ac:dyDescent="0.3">
      <c r="A990" s="1">
        <v>45640</v>
      </c>
      <c r="B990" t="s">
        <v>16</v>
      </c>
      <c r="C990">
        <v>24</v>
      </c>
      <c r="D990">
        <v>784000</v>
      </c>
      <c r="E990" t="str">
        <f t="shared" si="30"/>
        <v>2024-12</v>
      </c>
      <c r="F990" t="str">
        <f t="shared" si="31"/>
        <v>Sat</v>
      </c>
    </row>
    <row r="991" spans="1:6" x14ac:dyDescent="0.3">
      <c r="A991" s="1">
        <v>45641</v>
      </c>
      <c r="B991" t="s">
        <v>16</v>
      </c>
      <c r="C991">
        <v>29</v>
      </c>
      <c r="D991">
        <v>892000</v>
      </c>
      <c r="E991" t="str">
        <f t="shared" si="30"/>
        <v>2024-12</v>
      </c>
      <c r="F991" t="str">
        <f t="shared" si="31"/>
        <v>Sun</v>
      </c>
    </row>
    <row r="992" spans="1:6" x14ac:dyDescent="0.3">
      <c r="A992" s="1">
        <v>45642</v>
      </c>
      <c r="B992" t="s">
        <v>16</v>
      </c>
      <c r="C992">
        <v>45</v>
      </c>
      <c r="D992">
        <v>1186000</v>
      </c>
      <c r="E992" t="str">
        <f t="shared" si="30"/>
        <v>2024-12</v>
      </c>
      <c r="F992" t="str">
        <f t="shared" si="31"/>
        <v>Mon</v>
      </c>
    </row>
    <row r="993" spans="1:6" x14ac:dyDescent="0.3">
      <c r="A993" s="1">
        <v>45643</v>
      </c>
      <c r="B993" t="s">
        <v>16</v>
      </c>
      <c r="C993">
        <v>34</v>
      </c>
      <c r="D993">
        <v>1007000</v>
      </c>
      <c r="E993" t="str">
        <f t="shared" si="30"/>
        <v>2024-12</v>
      </c>
      <c r="F993" t="str">
        <f t="shared" si="31"/>
        <v>Tue</v>
      </c>
    </row>
    <row r="994" spans="1:6" x14ac:dyDescent="0.3">
      <c r="A994" s="1">
        <v>45644</v>
      </c>
      <c r="B994" t="s">
        <v>16</v>
      </c>
      <c r="C994">
        <v>51</v>
      </c>
      <c r="D994">
        <v>1278000</v>
      </c>
      <c r="E994" t="str">
        <f t="shared" si="30"/>
        <v>2024-12</v>
      </c>
      <c r="F994" t="str">
        <f t="shared" si="31"/>
        <v>Wed</v>
      </c>
    </row>
    <row r="995" spans="1:6" x14ac:dyDescent="0.3">
      <c r="A995" s="1">
        <v>45645</v>
      </c>
      <c r="B995" t="s">
        <v>16</v>
      </c>
      <c r="C995">
        <v>40</v>
      </c>
      <c r="D995">
        <v>1233000</v>
      </c>
      <c r="E995" t="str">
        <f t="shared" si="30"/>
        <v>2024-12</v>
      </c>
      <c r="F995" t="str">
        <f t="shared" si="31"/>
        <v>Thu</v>
      </c>
    </row>
    <row r="996" spans="1:6" x14ac:dyDescent="0.3">
      <c r="A996" s="1">
        <v>45646</v>
      </c>
      <c r="B996" t="s">
        <v>16</v>
      </c>
      <c r="C996">
        <v>43</v>
      </c>
      <c r="D996">
        <v>1283000</v>
      </c>
      <c r="E996" t="str">
        <f t="shared" si="30"/>
        <v>2024-12</v>
      </c>
      <c r="F996" t="str">
        <f t="shared" si="31"/>
        <v>Fri</v>
      </c>
    </row>
    <row r="997" spans="1:6" x14ac:dyDescent="0.3">
      <c r="A997" s="1">
        <v>45647</v>
      </c>
      <c r="B997" t="s">
        <v>16</v>
      </c>
      <c r="C997">
        <v>29</v>
      </c>
      <c r="D997">
        <v>804000</v>
      </c>
      <c r="E997" t="str">
        <f t="shared" si="30"/>
        <v>2024-12</v>
      </c>
      <c r="F997" t="str">
        <f t="shared" si="31"/>
        <v>Sat</v>
      </c>
    </row>
    <row r="998" spans="1:6" x14ac:dyDescent="0.3">
      <c r="A998" s="1">
        <v>45648</v>
      </c>
      <c r="B998" t="s">
        <v>16</v>
      </c>
      <c r="C998">
        <v>33</v>
      </c>
      <c r="D998">
        <v>891000</v>
      </c>
      <c r="E998" t="str">
        <f t="shared" si="30"/>
        <v>2024-12</v>
      </c>
      <c r="F998" t="str">
        <f t="shared" si="31"/>
        <v>Sun</v>
      </c>
    </row>
    <row r="999" spans="1:6" x14ac:dyDescent="0.3">
      <c r="A999" s="1">
        <v>45649</v>
      </c>
      <c r="B999" t="s">
        <v>16</v>
      </c>
      <c r="C999">
        <v>46</v>
      </c>
      <c r="D999">
        <v>1077000</v>
      </c>
      <c r="E999" t="str">
        <f t="shared" si="30"/>
        <v>2024-12</v>
      </c>
      <c r="F999" t="str">
        <f t="shared" si="31"/>
        <v>Mon</v>
      </c>
    </row>
    <row r="1000" spans="1:6" x14ac:dyDescent="0.3">
      <c r="A1000" s="1">
        <v>45650</v>
      </c>
      <c r="B1000" t="s">
        <v>16</v>
      </c>
      <c r="C1000">
        <v>42</v>
      </c>
      <c r="D1000">
        <v>1253000</v>
      </c>
      <c r="E1000" t="str">
        <f t="shared" si="30"/>
        <v>2024-12</v>
      </c>
      <c r="F1000" t="str">
        <f t="shared" si="31"/>
        <v>Tue</v>
      </c>
    </row>
    <row r="1001" spans="1:6" x14ac:dyDescent="0.3">
      <c r="A1001" s="1">
        <v>45651</v>
      </c>
      <c r="B1001" t="s">
        <v>16</v>
      </c>
      <c r="C1001">
        <v>41</v>
      </c>
      <c r="D1001">
        <v>1140000</v>
      </c>
      <c r="E1001" t="str">
        <f t="shared" si="30"/>
        <v>2024-12</v>
      </c>
      <c r="F1001" t="str">
        <f t="shared" si="31"/>
        <v>Wed</v>
      </c>
    </row>
    <row r="1002" spans="1:6" x14ac:dyDescent="0.3">
      <c r="A1002" s="1">
        <v>45652</v>
      </c>
      <c r="B1002" t="s">
        <v>16</v>
      </c>
      <c r="C1002">
        <v>46</v>
      </c>
      <c r="D1002">
        <v>1265000</v>
      </c>
      <c r="E1002" t="str">
        <f t="shared" si="30"/>
        <v>2024-12</v>
      </c>
      <c r="F1002" t="str">
        <f t="shared" si="31"/>
        <v>Thu</v>
      </c>
    </row>
    <row r="1003" spans="1:6" x14ac:dyDescent="0.3">
      <c r="A1003" s="1">
        <v>45653</v>
      </c>
      <c r="B1003" t="s">
        <v>16</v>
      </c>
      <c r="C1003">
        <v>44</v>
      </c>
      <c r="D1003">
        <v>1302000</v>
      </c>
      <c r="E1003" t="str">
        <f t="shared" si="30"/>
        <v>2024-12</v>
      </c>
      <c r="F1003" t="str">
        <f t="shared" si="31"/>
        <v>Fri</v>
      </c>
    </row>
    <row r="1004" spans="1:6" x14ac:dyDescent="0.3">
      <c r="A1004" s="1">
        <v>45654</v>
      </c>
      <c r="B1004" t="s">
        <v>16</v>
      </c>
      <c r="C1004">
        <v>29</v>
      </c>
      <c r="D1004">
        <v>777000</v>
      </c>
      <c r="E1004" t="str">
        <f t="shared" si="30"/>
        <v>2024-12</v>
      </c>
      <c r="F1004" t="str">
        <f t="shared" si="31"/>
        <v>Sat</v>
      </c>
    </row>
    <row r="1005" spans="1:6" x14ac:dyDescent="0.3">
      <c r="A1005" s="1">
        <v>45655</v>
      </c>
      <c r="B1005" t="s">
        <v>16</v>
      </c>
      <c r="C1005">
        <v>31</v>
      </c>
      <c r="D1005">
        <v>828000</v>
      </c>
      <c r="E1005" t="str">
        <f t="shared" si="30"/>
        <v>2024-12</v>
      </c>
      <c r="F1005" t="str">
        <f t="shared" si="31"/>
        <v>Sun</v>
      </c>
    </row>
    <row r="1006" spans="1:6" x14ac:dyDescent="0.3">
      <c r="A1006" s="1">
        <v>45656</v>
      </c>
      <c r="B1006" t="s">
        <v>16</v>
      </c>
      <c r="C1006">
        <v>46</v>
      </c>
      <c r="D1006">
        <v>1200000</v>
      </c>
      <c r="E1006" t="str">
        <f t="shared" si="30"/>
        <v>2024-12</v>
      </c>
      <c r="F1006" t="str">
        <f t="shared" si="31"/>
        <v>Mon</v>
      </c>
    </row>
    <row r="1007" spans="1:6" x14ac:dyDescent="0.3">
      <c r="A1007" s="1">
        <v>45657</v>
      </c>
      <c r="B1007" t="s">
        <v>16</v>
      </c>
      <c r="C1007">
        <v>54</v>
      </c>
      <c r="D1007">
        <v>1324000</v>
      </c>
      <c r="E1007" t="str">
        <f t="shared" si="30"/>
        <v>2024-12</v>
      </c>
      <c r="F1007" t="str">
        <f t="shared" si="31"/>
        <v>Tue</v>
      </c>
    </row>
    <row r="1008" spans="1:6" x14ac:dyDescent="0.3">
      <c r="A1008" s="1">
        <v>45658</v>
      </c>
      <c r="B1008" t="s">
        <v>16</v>
      </c>
      <c r="C1008">
        <v>31</v>
      </c>
      <c r="D1008">
        <v>1061000</v>
      </c>
      <c r="E1008" t="str">
        <f t="shared" si="30"/>
        <v>2025-01</v>
      </c>
      <c r="F1008" t="str">
        <f t="shared" si="31"/>
        <v>Wed</v>
      </c>
    </row>
    <row r="1009" spans="1:6" x14ac:dyDescent="0.3">
      <c r="A1009" s="1">
        <v>45659</v>
      </c>
      <c r="B1009" t="s">
        <v>16</v>
      </c>
      <c r="C1009">
        <v>32</v>
      </c>
      <c r="D1009">
        <v>888000</v>
      </c>
      <c r="E1009" t="str">
        <f t="shared" si="30"/>
        <v>2025-01</v>
      </c>
      <c r="F1009" t="str">
        <f t="shared" si="31"/>
        <v>Thu</v>
      </c>
    </row>
    <row r="1010" spans="1:6" x14ac:dyDescent="0.3">
      <c r="A1010" s="1">
        <v>45660</v>
      </c>
      <c r="B1010" t="s">
        <v>16</v>
      </c>
      <c r="C1010">
        <v>38</v>
      </c>
      <c r="D1010">
        <v>1039000</v>
      </c>
      <c r="E1010" t="str">
        <f t="shared" si="30"/>
        <v>2025-01</v>
      </c>
      <c r="F1010" t="str">
        <f t="shared" si="31"/>
        <v>Fri</v>
      </c>
    </row>
    <row r="1011" spans="1:6" x14ac:dyDescent="0.3">
      <c r="A1011" s="1">
        <v>45661</v>
      </c>
      <c r="B1011" t="s">
        <v>16</v>
      </c>
      <c r="C1011">
        <v>25</v>
      </c>
      <c r="D1011">
        <v>742000</v>
      </c>
      <c r="E1011" t="str">
        <f t="shared" si="30"/>
        <v>2025-01</v>
      </c>
      <c r="F1011" t="str">
        <f t="shared" si="31"/>
        <v>Sat</v>
      </c>
    </row>
    <row r="1012" spans="1:6" x14ac:dyDescent="0.3">
      <c r="A1012" s="1">
        <v>45662</v>
      </c>
      <c r="B1012" t="s">
        <v>16</v>
      </c>
      <c r="C1012">
        <v>41</v>
      </c>
      <c r="D1012">
        <v>829000</v>
      </c>
      <c r="E1012" t="str">
        <f t="shared" si="30"/>
        <v>2025-01</v>
      </c>
      <c r="F1012" t="str">
        <f t="shared" si="31"/>
        <v>Sun</v>
      </c>
    </row>
    <row r="1013" spans="1:6" x14ac:dyDescent="0.3">
      <c r="A1013" s="1">
        <v>45663</v>
      </c>
      <c r="B1013" t="s">
        <v>16</v>
      </c>
      <c r="C1013">
        <v>30</v>
      </c>
      <c r="D1013">
        <v>849000</v>
      </c>
      <c r="E1013" t="str">
        <f t="shared" si="30"/>
        <v>2025-01</v>
      </c>
      <c r="F1013" t="str">
        <f t="shared" si="31"/>
        <v>Mon</v>
      </c>
    </row>
    <row r="1014" spans="1:6" x14ac:dyDescent="0.3">
      <c r="A1014" s="1">
        <v>45664</v>
      </c>
      <c r="B1014" t="s">
        <v>16</v>
      </c>
      <c r="C1014">
        <v>34</v>
      </c>
      <c r="D1014">
        <v>952000</v>
      </c>
      <c r="E1014" t="str">
        <f t="shared" si="30"/>
        <v>2025-01</v>
      </c>
      <c r="F1014" t="str">
        <f t="shared" si="31"/>
        <v>Tue</v>
      </c>
    </row>
    <row r="1015" spans="1:6" x14ac:dyDescent="0.3">
      <c r="A1015" s="1">
        <v>45665</v>
      </c>
      <c r="B1015" t="s">
        <v>16</v>
      </c>
      <c r="C1015">
        <v>44</v>
      </c>
      <c r="D1015">
        <v>1121000</v>
      </c>
      <c r="E1015" t="str">
        <f t="shared" si="30"/>
        <v>2025-01</v>
      </c>
      <c r="F1015" t="str">
        <f t="shared" si="31"/>
        <v>Wed</v>
      </c>
    </row>
    <row r="1016" spans="1:6" x14ac:dyDescent="0.3">
      <c r="A1016" s="1">
        <v>45666</v>
      </c>
      <c r="B1016" t="s">
        <v>16</v>
      </c>
      <c r="C1016">
        <v>30</v>
      </c>
      <c r="D1016">
        <v>879000</v>
      </c>
      <c r="E1016" t="str">
        <f t="shared" si="30"/>
        <v>2025-01</v>
      </c>
      <c r="F1016" t="str">
        <f t="shared" si="31"/>
        <v>Thu</v>
      </c>
    </row>
    <row r="1017" spans="1:6" x14ac:dyDescent="0.3">
      <c r="A1017" s="1">
        <v>45667</v>
      </c>
      <c r="B1017" t="s">
        <v>16</v>
      </c>
      <c r="C1017">
        <v>39</v>
      </c>
      <c r="D1017">
        <v>894000</v>
      </c>
      <c r="E1017" t="str">
        <f t="shared" si="30"/>
        <v>2025-01</v>
      </c>
      <c r="F1017" t="str">
        <f t="shared" si="31"/>
        <v>Fri</v>
      </c>
    </row>
    <row r="1018" spans="1:6" x14ac:dyDescent="0.3">
      <c r="A1018" s="1">
        <v>45668</v>
      </c>
      <c r="B1018" t="s">
        <v>16</v>
      </c>
      <c r="C1018">
        <v>26</v>
      </c>
      <c r="D1018">
        <v>731000</v>
      </c>
      <c r="E1018" t="str">
        <f t="shared" si="30"/>
        <v>2025-01</v>
      </c>
      <c r="F1018" t="str">
        <f t="shared" si="31"/>
        <v>Sat</v>
      </c>
    </row>
    <row r="1019" spans="1:6" x14ac:dyDescent="0.3">
      <c r="A1019" s="1">
        <v>45669</v>
      </c>
      <c r="B1019" t="s">
        <v>16</v>
      </c>
      <c r="C1019">
        <v>25</v>
      </c>
      <c r="D1019">
        <v>763000</v>
      </c>
      <c r="E1019" t="str">
        <f t="shared" si="30"/>
        <v>2025-01</v>
      </c>
      <c r="F1019" t="str">
        <f t="shared" si="31"/>
        <v>Sun</v>
      </c>
    </row>
    <row r="1020" spans="1:6" x14ac:dyDescent="0.3">
      <c r="A1020" s="1">
        <v>45670</v>
      </c>
      <c r="B1020" t="s">
        <v>16</v>
      </c>
      <c r="C1020">
        <v>42</v>
      </c>
      <c r="D1020">
        <v>943000</v>
      </c>
      <c r="E1020" t="str">
        <f t="shared" si="30"/>
        <v>2025-01</v>
      </c>
      <c r="F1020" t="str">
        <f t="shared" si="31"/>
        <v>Mon</v>
      </c>
    </row>
    <row r="1021" spans="1:6" x14ac:dyDescent="0.3">
      <c r="A1021" s="1">
        <v>45671</v>
      </c>
      <c r="B1021" t="s">
        <v>16</v>
      </c>
      <c r="C1021">
        <v>43</v>
      </c>
      <c r="D1021">
        <v>1053000</v>
      </c>
      <c r="E1021" t="str">
        <f t="shared" si="30"/>
        <v>2025-01</v>
      </c>
      <c r="F1021" t="str">
        <f t="shared" si="31"/>
        <v>Tue</v>
      </c>
    </row>
    <row r="1022" spans="1:6" x14ac:dyDescent="0.3">
      <c r="A1022" s="1">
        <v>45672</v>
      </c>
      <c r="B1022" t="s">
        <v>16</v>
      </c>
      <c r="C1022">
        <v>37</v>
      </c>
      <c r="D1022">
        <v>1015000</v>
      </c>
      <c r="E1022" t="str">
        <f t="shared" si="30"/>
        <v>2025-01</v>
      </c>
      <c r="F1022" t="str">
        <f t="shared" si="31"/>
        <v>Wed</v>
      </c>
    </row>
    <row r="1023" spans="1:6" x14ac:dyDescent="0.3">
      <c r="A1023" s="1">
        <v>45673</v>
      </c>
      <c r="B1023" t="s">
        <v>16</v>
      </c>
      <c r="C1023">
        <v>41</v>
      </c>
      <c r="D1023">
        <v>1143000</v>
      </c>
      <c r="E1023" t="str">
        <f t="shared" si="30"/>
        <v>2025-01</v>
      </c>
      <c r="F1023" t="str">
        <f t="shared" si="31"/>
        <v>Thu</v>
      </c>
    </row>
    <row r="1024" spans="1:6" x14ac:dyDescent="0.3">
      <c r="A1024" s="1">
        <v>45674</v>
      </c>
      <c r="B1024" t="s">
        <v>16</v>
      </c>
      <c r="C1024">
        <v>38</v>
      </c>
      <c r="D1024">
        <v>1006000</v>
      </c>
      <c r="E1024" t="str">
        <f t="shared" si="30"/>
        <v>2025-01</v>
      </c>
      <c r="F1024" t="str">
        <f t="shared" si="31"/>
        <v>Fri</v>
      </c>
    </row>
    <row r="1025" spans="1:6" x14ac:dyDescent="0.3">
      <c r="A1025" s="1">
        <v>45675</v>
      </c>
      <c r="B1025" t="s">
        <v>16</v>
      </c>
      <c r="C1025">
        <v>27</v>
      </c>
      <c r="D1025">
        <v>763000</v>
      </c>
      <c r="E1025" t="str">
        <f t="shared" si="30"/>
        <v>2025-01</v>
      </c>
      <c r="F1025" t="str">
        <f t="shared" si="31"/>
        <v>Sat</v>
      </c>
    </row>
    <row r="1026" spans="1:6" x14ac:dyDescent="0.3">
      <c r="A1026" s="1">
        <v>45676</v>
      </c>
      <c r="B1026" t="s">
        <v>16</v>
      </c>
      <c r="C1026">
        <v>23</v>
      </c>
      <c r="D1026">
        <v>644000</v>
      </c>
      <c r="E1026" t="str">
        <f t="shared" ref="E1026:E1089" si="32">TEXT(A1026,"yyyy-mm")</f>
        <v>2025-01</v>
      </c>
      <c r="F1026" t="str">
        <f t="shared" ref="F1026:F1089" si="33">TEXT(A1026,"ddd")</f>
        <v>Sun</v>
      </c>
    </row>
    <row r="1027" spans="1:6" x14ac:dyDescent="0.3">
      <c r="A1027" s="1">
        <v>45677</v>
      </c>
      <c r="B1027" t="s">
        <v>16</v>
      </c>
      <c r="C1027">
        <v>41</v>
      </c>
      <c r="D1027">
        <v>990000</v>
      </c>
      <c r="E1027" t="str">
        <f t="shared" si="32"/>
        <v>2025-01</v>
      </c>
      <c r="F1027" t="str">
        <f t="shared" si="33"/>
        <v>Mon</v>
      </c>
    </row>
    <row r="1028" spans="1:6" x14ac:dyDescent="0.3">
      <c r="A1028" s="1">
        <v>45678</v>
      </c>
      <c r="B1028" t="s">
        <v>16</v>
      </c>
      <c r="C1028">
        <v>36</v>
      </c>
      <c r="D1028">
        <v>999000</v>
      </c>
      <c r="E1028" t="str">
        <f t="shared" si="32"/>
        <v>2025-01</v>
      </c>
      <c r="F1028" t="str">
        <f t="shared" si="33"/>
        <v>Tue</v>
      </c>
    </row>
    <row r="1029" spans="1:6" x14ac:dyDescent="0.3">
      <c r="A1029" s="1">
        <v>45679</v>
      </c>
      <c r="B1029" t="s">
        <v>16</v>
      </c>
      <c r="C1029">
        <v>45</v>
      </c>
      <c r="D1029">
        <v>1112000</v>
      </c>
      <c r="E1029" t="str">
        <f t="shared" si="32"/>
        <v>2025-01</v>
      </c>
      <c r="F1029" t="str">
        <f t="shared" si="33"/>
        <v>Wed</v>
      </c>
    </row>
    <row r="1030" spans="1:6" x14ac:dyDescent="0.3">
      <c r="A1030" s="1">
        <v>45680</v>
      </c>
      <c r="B1030" t="s">
        <v>16</v>
      </c>
      <c r="C1030">
        <v>47</v>
      </c>
      <c r="D1030">
        <v>1061000</v>
      </c>
      <c r="E1030" t="str">
        <f t="shared" si="32"/>
        <v>2025-01</v>
      </c>
      <c r="F1030" t="str">
        <f t="shared" si="33"/>
        <v>Thu</v>
      </c>
    </row>
    <row r="1031" spans="1:6" x14ac:dyDescent="0.3">
      <c r="A1031" s="1">
        <v>45681</v>
      </c>
      <c r="B1031" t="s">
        <v>16</v>
      </c>
      <c r="C1031">
        <v>44</v>
      </c>
      <c r="D1031">
        <v>941000</v>
      </c>
      <c r="E1031" t="str">
        <f t="shared" si="32"/>
        <v>2025-01</v>
      </c>
      <c r="F1031" t="str">
        <f t="shared" si="33"/>
        <v>Fri</v>
      </c>
    </row>
    <row r="1032" spans="1:6" x14ac:dyDescent="0.3">
      <c r="A1032" s="1">
        <v>45682</v>
      </c>
      <c r="B1032" t="s">
        <v>16</v>
      </c>
      <c r="C1032">
        <v>25</v>
      </c>
      <c r="D1032">
        <v>746000</v>
      </c>
      <c r="E1032" t="str">
        <f t="shared" si="32"/>
        <v>2025-01</v>
      </c>
      <c r="F1032" t="str">
        <f t="shared" si="33"/>
        <v>Sat</v>
      </c>
    </row>
    <row r="1033" spans="1:6" x14ac:dyDescent="0.3">
      <c r="A1033" s="1">
        <v>45683</v>
      </c>
      <c r="B1033" t="s">
        <v>16</v>
      </c>
      <c r="C1033">
        <v>28</v>
      </c>
      <c r="D1033">
        <v>752000</v>
      </c>
      <c r="E1033" t="str">
        <f t="shared" si="32"/>
        <v>2025-01</v>
      </c>
      <c r="F1033" t="str">
        <f t="shared" si="33"/>
        <v>Sun</v>
      </c>
    </row>
    <row r="1034" spans="1:6" x14ac:dyDescent="0.3">
      <c r="A1034" s="1">
        <v>45684</v>
      </c>
      <c r="B1034" t="s">
        <v>16</v>
      </c>
      <c r="C1034">
        <v>31</v>
      </c>
      <c r="D1034">
        <v>1001000</v>
      </c>
      <c r="E1034" t="str">
        <f t="shared" si="32"/>
        <v>2025-01</v>
      </c>
      <c r="F1034" t="str">
        <f t="shared" si="33"/>
        <v>Mon</v>
      </c>
    </row>
    <row r="1035" spans="1:6" x14ac:dyDescent="0.3">
      <c r="A1035" s="1">
        <v>45685</v>
      </c>
      <c r="B1035" t="s">
        <v>16</v>
      </c>
      <c r="C1035">
        <v>41</v>
      </c>
      <c r="D1035">
        <v>988000</v>
      </c>
      <c r="E1035" t="str">
        <f t="shared" si="32"/>
        <v>2025-01</v>
      </c>
      <c r="F1035" t="str">
        <f t="shared" si="33"/>
        <v>Tue</v>
      </c>
    </row>
    <row r="1036" spans="1:6" x14ac:dyDescent="0.3">
      <c r="A1036" s="1">
        <v>45686</v>
      </c>
      <c r="B1036" t="s">
        <v>16</v>
      </c>
      <c r="C1036">
        <v>37</v>
      </c>
      <c r="D1036">
        <v>994000</v>
      </c>
      <c r="E1036" t="str">
        <f t="shared" si="32"/>
        <v>2025-01</v>
      </c>
      <c r="F1036" t="str">
        <f t="shared" si="33"/>
        <v>Wed</v>
      </c>
    </row>
    <row r="1037" spans="1:6" x14ac:dyDescent="0.3">
      <c r="A1037" s="1">
        <v>45687</v>
      </c>
      <c r="B1037" t="s">
        <v>16</v>
      </c>
      <c r="C1037">
        <v>30</v>
      </c>
      <c r="D1037">
        <v>858000</v>
      </c>
      <c r="E1037" t="str">
        <f t="shared" si="32"/>
        <v>2025-01</v>
      </c>
      <c r="F1037" t="str">
        <f t="shared" si="33"/>
        <v>Thu</v>
      </c>
    </row>
    <row r="1038" spans="1:6" x14ac:dyDescent="0.3">
      <c r="A1038" s="1">
        <v>45688</v>
      </c>
      <c r="B1038" t="s">
        <v>16</v>
      </c>
      <c r="C1038">
        <v>38</v>
      </c>
      <c r="D1038">
        <v>1030000</v>
      </c>
      <c r="E1038" t="str">
        <f t="shared" si="32"/>
        <v>2025-01</v>
      </c>
      <c r="F1038" t="str">
        <f t="shared" si="33"/>
        <v>Fri</v>
      </c>
    </row>
    <row r="1039" spans="1:6" x14ac:dyDescent="0.3">
      <c r="A1039" s="1">
        <v>45689</v>
      </c>
      <c r="B1039" t="s">
        <v>16</v>
      </c>
      <c r="C1039">
        <v>25</v>
      </c>
      <c r="D1039">
        <v>721000</v>
      </c>
      <c r="E1039" t="str">
        <f t="shared" si="32"/>
        <v>2025-02</v>
      </c>
      <c r="F1039" t="str">
        <f t="shared" si="33"/>
        <v>Sat</v>
      </c>
    </row>
    <row r="1040" spans="1:6" x14ac:dyDescent="0.3">
      <c r="A1040" s="1">
        <v>45690</v>
      </c>
      <c r="B1040" t="s">
        <v>16</v>
      </c>
      <c r="C1040">
        <v>23</v>
      </c>
      <c r="D1040">
        <v>651000</v>
      </c>
      <c r="E1040" t="str">
        <f t="shared" si="32"/>
        <v>2025-02</v>
      </c>
      <c r="F1040" t="str">
        <f t="shared" si="33"/>
        <v>Sun</v>
      </c>
    </row>
    <row r="1041" spans="1:6" x14ac:dyDescent="0.3">
      <c r="A1041" s="1">
        <v>45691</v>
      </c>
      <c r="B1041" t="s">
        <v>16</v>
      </c>
      <c r="C1041">
        <v>42</v>
      </c>
      <c r="D1041">
        <v>1082000</v>
      </c>
      <c r="E1041" t="str">
        <f t="shared" si="32"/>
        <v>2025-02</v>
      </c>
      <c r="F1041" t="str">
        <f t="shared" si="33"/>
        <v>Mon</v>
      </c>
    </row>
    <row r="1042" spans="1:6" x14ac:dyDescent="0.3">
      <c r="A1042" s="1">
        <v>45692</v>
      </c>
      <c r="B1042" t="s">
        <v>16</v>
      </c>
      <c r="C1042">
        <v>41</v>
      </c>
      <c r="D1042">
        <v>890000</v>
      </c>
      <c r="E1042" t="str">
        <f t="shared" si="32"/>
        <v>2025-02</v>
      </c>
      <c r="F1042" t="str">
        <f t="shared" si="33"/>
        <v>Tue</v>
      </c>
    </row>
    <row r="1043" spans="1:6" x14ac:dyDescent="0.3">
      <c r="A1043" s="1">
        <v>45693</v>
      </c>
      <c r="B1043" t="s">
        <v>16</v>
      </c>
      <c r="C1043">
        <v>38</v>
      </c>
      <c r="D1043">
        <v>965000</v>
      </c>
      <c r="E1043" t="str">
        <f t="shared" si="32"/>
        <v>2025-02</v>
      </c>
      <c r="F1043" t="str">
        <f t="shared" si="33"/>
        <v>Wed</v>
      </c>
    </row>
    <row r="1044" spans="1:6" x14ac:dyDescent="0.3">
      <c r="A1044" s="1">
        <v>45694</v>
      </c>
      <c r="B1044" t="s">
        <v>16</v>
      </c>
      <c r="C1044">
        <v>30</v>
      </c>
      <c r="D1044">
        <v>973000</v>
      </c>
      <c r="E1044" t="str">
        <f t="shared" si="32"/>
        <v>2025-02</v>
      </c>
      <c r="F1044" t="str">
        <f t="shared" si="33"/>
        <v>Thu</v>
      </c>
    </row>
    <row r="1045" spans="1:6" x14ac:dyDescent="0.3">
      <c r="A1045" s="1">
        <v>45695</v>
      </c>
      <c r="B1045" t="s">
        <v>16</v>
      </c>
      <c r="C1045">
        <v>41</v>
      </c>
      <c r="D1045">
        <v>1198000</v>
      </c>
      <c r="E1045" t="str">
        <f t="shared" si="32"/>
        <v>2025-02</v>
      </c>
      <c r="F1045" t="str">
        <f t="shared" si="33"/>
        <v>Fri</v>
      </c>
    </row>
    <row r="1046" spans="1:6" x14ac:dyDescent="0.3">
      <c r="A1046" s="1">
        <v>45696</v>
      </c>
      <c r="B1046" t="s">
        <v>16</v>
      </c>
      <c r="C1046">
        <v>20</v>
      </c>
      <c r="D1046">
        <v>606000</v>
      </c>
      <c r="E1046" t="str">
        <f t="shared" si="32"/>
        <v>2025-02</v>
      </c>
      <c r="F1046" t="str">
        <f t="shared" si="33"/>
        <v>Sat</v>
      </c>
    </row>
    <row r="1047" spans="1:6" x14ac:dyDescent="0.3">
      <c r="A1047" s="1">
        <v>45697</v>
      </c>
      <c r="B1047" t="s">
        <v>16</v>
      </c>
      <c r="C1047">
        <v>28</v>
      </c>
      <c r="D1047">
        <v>745000</v>
      </c>
      <c r="E1047" t="str">
        <f t="shared" si="32"/>
        <v>2025-02</v>
      </c>
      <c r="F1047" t="str">
        <f t="shared" si="33"/>
        <v>Sun</v>
      </c>
    </row>
    <row r="1048" spans="1:6" x14ac:dyDescent="0.3">
      <c r="A1048" s="1">
        <v>45698</v>
      </c>
      <c r="B1048" t="s">
        <v>16</v>
      </c>
      <c r="C1048">
        <v>41</v>
      </c>
      <c r="D1048">
        <v>1105000</v>
      </c>
      <c r="E1048" t="str">
        <f t="shared" si="32"/>
        <v>2025-02</v>
      </c>
      <c r="F1048" t="str">
        <f t="shared" si="33"/>
        <v>Mon</v>
      </c>
    </row>
    <row r="1049" spans="1:6" x14ac:dyDescent="0.3">
      <c r="A1049" s="1">
        <v>45699</v>
      </c>
      <c r="B1049" t="s">
        <v>16</v>
      </c>
      <c r="C1049">
        <v>41</v>
      </c>
      <c r="D1049">
        <v>1053000</v>
      </c>
      <c r="E1049" t="str">
        <f t="shared" si="32"/>
        <v>2025-02</v>
      </c>
      <c r="F1049" t="str">
        <f t="shared" si="33"/>
        <v>Tue</v>
      </c>
    </row>
    <row r="1050" spans="1:6" x14ac:dyDescent="0.3">
      <c r="A1050" s="1">
        <v>45700</v>
      </c>
      <c r="B1050" t="s">
        <v>16</v>
      </c>
      <c r="C1050">
        <v>39</v>
      </c>
      <c r="D1050">
        <v>1128000</v>
      </c>
      <c r="E1050" t="str">
        <f t="shared" si="32"/>
        <v>2025-02</v>
      </c>
      <c r="F1050" t="str">
        <f t="shared" si="33"/>
        <v>Wed</v>
      </c>
    </row>
    <row r="1051" spans="1:6" x14ac:dyDescent="0.3">
      <c r="A1051" s="1">
        <v>45701</v>
      </c>
      <c r="B1051" t="s">
        <v>16</v>
      </c>
      <c r="C1051">
        <v>33</v>
      </c>
      <c r="D1051">
        <v>928000</v>
      </c>
      <c r="E1051" t="str">
        <f t="shared" si="32"/>
        <v>2025-02</v>
      </c>
      <c r="F1051" t="str">
        <f t="shared" si="33"/>
        <v>Thu</v>
      </c>
    </row>
    <row r="1052" spans="1:6" x14ac:dyDescent="0.3">
      <c r="A1052" s="1">
        <v>45702</v>
      </c>
      <c r="B1052" t="s">
        <v>16</v>
      </c>
      <c r="C1052">
        <v>28</v>
      </c>
      <c r="D1052">
        <v>811000</v>
      </c>
      <c r="E1052" t="str">
        <f t="shared" si="32"/>
        <v>2025-02</v>
      </c>
      <c r="F1052" t="str">
        <f t="shared" si="33"/>
        <v>Fri</v>
      </c>
    </row>
    <row r="1053" spans="1:6" x14ac:dyDescent="0.3">
      <c r="A1053" s="1">
        <v>45703</v>
      </c>
      <c r="B1053" t="s">
        <v>16</v>
      </c>
      <c r="C1053">
        <v>24</v>
      </c>
      <c r="D1053">
        <v>760000</v>
      </c>
      <c r="E1053" t="str">
        <f t="shared" si="32"/>
        <v>2025-02</v>
      </c>
      <c r="F1053" t="str">
        <f t="shared" si="33"/>
        <v>Sat</v>
      </c>
    </row>
    <row r="1054" spans="1:6" x14ac:dyDescent="0.3">
      <c r="A1054" s="1">
        <v>45704</v>
      </c>
      <c r="B1054" t="s">
        <v>16</v>
      </c>
      <c r="C1054">
        <v>25</v>
      </c>
      <c r="D1054">
        <v>635000</v>
      </c>
      <c r="E1054" t="str">
        <f t="shared" si="32"/>
        <v>2025-02</v>
      </c>
      <c r="F1054" t="str">
        <f t="shared" si="33"/>
        <v>Sun</v>
      </c>
    </row>
    <row r="1055" spans="1:6" x14ac:dyDescent="0.3">
      <c r="A1055" s="1">
        <v>45705</v>
      </c>
      <c r="B1055" t="s">
        <v>16</v>
      </c>
      <c r="C1055">
        <v>34</v>
      </c>
      <c r="D1055">
        <v>992000</v>
      </c>
      <c r="E1055" t="str">
        <f t="shared" si="32"/>
        <v>2025-02</v>
      </c>
      <c r="F1055" t="str">
        <f t="shared" si="33"/>
        <v>Mon</v>
      </c>
    </row>
    <row r="1056" spans="1:6" x14ac:dyDescent="0.3">
      <c r="A1056" s="1">
        <v>45706</v>
      </c>
      <c r="B1056" t="s">
        <v>16</v>
      </c>
      <c r="C1056">
        <v>38</v>
      </c>
      <c r="D1056">
        <v>914000</v>
      </c>
      <c r="E1056" t="str">
        <f t="shared" si="32"/>
        <v>2025-02</v>
      </c>
      <c r="F1056" t="str">
        <f t="shared" si="33"/>
        <v>Tue</v>
      </c>
    </row>
    <row r="1057" spans="1:6" x14ac:dyDescent="0.3">
      <c r="A1057" s="1">
        <v>45707</v>
      </c>
      <c r="B1057" t="s">
        <v>16</v>
      </c>
      <c r="C1057">
        <v>37</v>
      </c>
      <c r="D1057">
        <v>1120000</v>
      </c>
      <c r="E1057" t="str">
        <f t="shared" si="32"/>
        <v>2025-02</v>
      </c>
      <c r="F1057" t="str">
        <f t="shared" si="33"/>
        <v>Wed</v>
      </c>
    </row>
    <row r="1058" spans="1:6" x14ac:dyDescent="0.3">
      <c r="A1058" s="1">
        <v>45708</v>
      </c>
      <c r="B1058" t="s">
        <v>16</v>
      </c>
      <c r="C1058">
        <v>41</v>
      </c>
      <c r="D1058">
        <v>1103000</v>
      </c>
      <c r="E1058" t="str">
        <f t="shared" si="32"/>
        <v>2025-02</v>
      </c>
      <c r="F1058" t="str">
        <f t="shared" si="33"/>
        <v>Thu</v>
      </c>
    </row>
    <row r="1059" spans="1:6" x14ac:dyDescent="0.3">
      <c r="A1059" s="1">
        <v>45709</v>
      </c>
      <c r="B1059" t="s">
        <v>16</v>
      </c>
      <c r="C1059">
        <v>35</v>
      </c>
      <c r="D1059">
        <v>958000</v>
      </c>
      <c r="E1059" t="str">
        <f t="shared" si="32"/>
        <v>2025-02</v>
      </c>
      <c r="F1059" t="str">
        <f t="shared" si="33"/>
        <v>Fri</v>
      </c>
    </row>
    <row r="1060" spans="1:6" x14ac:dyDescent="0.3">
      <c r="A1060" s="1">
        <v>45710</v>
      </c>
      <c r="B1060" t="s">
        <v>16</v>
      </c>
      <c r="C1060">
        <v>28</v>
      </c>
      <c r="D1060">
        <v>771000</v>
      </c>
      <c r="E1060" t="str">
        <f t="shared" si="32"/>
        <v>2025-02</v>
      </c>
      <c r="F1060" t="str">
        <f t="shared" si="33"/>
        <v>Sat</v>
      </c>
    </row>
    <row r="1061" spans="1:6" x14ac:dyDescent="0.3">
      <c r="A1061" s="1">
        <v>45711</v>
      </c>
      <c r="B1061" t="s">
        <v>16</v>
      </c>
      <c r="C1061">
        <v>23</v>
      </c>
      <c r="D1061">
        <v>722000</v>
      </c>
      <c r="E1061" t="str">
        <f t="shared" si="32"/>
        <v>2025-02</v>
      </c>
      <c r="F1061" t="str">
        <f t="shared" si="33"/>
        <v>Sun</v>
      </c>
    </row>
    <row r="1062" spans="1:6" x14ac:dyDescent="0.3">
      <c r="A1062" s="1">
        <v>45712</v>
      </c>
      <c r="B1062" t="s">
        <v>16</v>
      </c>
      <c r="C1062">
        <v>37</v>
      </c>
      <c r="D1062">
        <v>1013000</v>
      </c>
      <c r="E1062" t="str">
        <f t="shared" si="32"/>
        <v>2025-02</v>
      </c>
      <c r="F1062" t="str">
        <f t="shared" si="33"/>
        <v>Mon</v>
      </c>
    </row>
    <row r="1063" spans="1:6" x14ac:dyDescent="0.3">
      <c r="A1063" s="1">
        <v>45713</v>
      </c>
      <c r="B1063" t="s">
        <v>16</v>
      </c>
      <c r="C1063">
        <v>39</v>
      </c>
      <c r="D1063">
        <v>1031000</v>
      </c>
      <c r="E1063" t="str">
        <f t="shared" si="32"/>
        <v>2025-02</v>
      </c>
      <c r="F1063" t="str">
        <f t="shared" si="33"/>
        <v>Tue</v>
      </c>
    </row>
    <row r="1064" spans="1:6" x14ac:dyDescent="0.3">
      <c r="A1064" s="1">
        <v>45714</v>
      </c>
      <c r="B1064" t="s">
        <v>16</v>
      </c>
      <c r="C1064">
        <v>41</v>
      </c>
      <c r="D1064">
        <v>1008000</v>
      </c>
      <c r="E1064" t="str">
        <f t="shared" si="32"/>
        <v>2025-02</v>
      </c>
      <c r="F1064" t="str">
        <f t="shared" si="33"/>
        <v>Wed</v>
      </c>
    </row>
    <row r="1065" spans="1:6" x14ac:dyDescent="0.3">
      <c r="A1065" s="1">
        <v>45715</v>
      </c>
      <c r="B1065" t="s">
        <v>16</v>
      </c>
      <c r="C1065">
        <v>38</v>
      </c>
      <c r="D1065">
        <v>1084000</v>
      </c>
      <c r="E1065" t="str">
        <f t="shared" si="32"/>
        <v>2025-02</v>
      </c>
      <c r="F1065" t="str">
        <f t="shared" si="33"/>
        <v>Thu</v>
      </c>
    </row>
    <row r="1066" spans="1:6" x14ac:dyDescent="0.3">
      <c r="A1066" s="1">
        <v>45716</v>
      </c>
      <c r="B1066" t="s">
        <v>16</v>
      </c>
      <c r="C1066">
        <v>41</v>
      </c>
      <c r="D1066">
        <v>1056000</v>
      </c>
      <c r="E1066" t="str">
        <f t="shared" si="32"/>
        <v>2025-02</v>
      </c>
      <c r="F1066" t="str">
        <f t="shared" si="33"/>
        <v>Fri</v>
      </c>
    </row>
    <row r="1067" spans="1:6" x14ac:dyDescent="0.3">
      <c r="A1067" s="1">
        <v>45717</v>
      </c>
      <c r="B1067" t="s">
        <v>16</v>
      </c>
      <c r="C1067">
        <v>26</v>
      </c>
      <c r="D1067">
        <v>693000</v>
      </c>
      <c r="E1067" t="str">
        <f t="shared" si="32"/>
        <v>2025-03</v>
      </c>
      <c r="F1067" t="str">
        <f t="shared" si="33"/>
        <v>Sat</v>
      </c>
    </row>
    <row r="1068" spans="1:6" x14ac:dyDescent="0.3">
      <c r="A1068" s="1">
        <v>45718</v>
      </c>
      <c r="B1068" t="s">
        <v>16</v>
      </c>
      <c r="C1068">
        <v>28</v>
      </c>
      <c r="D1068">
        <v>781000</v>
      </c>
      <c r="E1068" t="str">
        <f t="shared" si="32"/>
        <v>2025-03</v>
      </c>
      <c r="F1068" t="str">
        <f t="shared" si="33"/>
        <v>Sun</v>
      </c>
    </row>
    <row r="1069" spans="1:6" x14ac:dyDescent="0.3">
      <c r="A1069" s="1">
        <v>45719</v>
      </c>
      <c r="B1069" t="s">
        <v>16</v>
      </c>
      <c r="C1069">
        <v>33</v>
      </c>
      <c r="D1069">
        <v>973000</v>
      </c>
      <c r="E1069" t="str">
        <f t="shared" si="32"/>
        <v>2025-03</v>
      </c>
      <c r="F1069" t="str">
        <f t="shared" si="33"/>
        <v>Mon</v>
      </c>
    </row>
    <row r="1070" spans="1:6" x14ac:dyDescent="0.3">
      <c r="A1070" s="1">
        <v>45720</v>
      </c>
      <c r="B1070" t="s">
        <v>16</v>
      </c>
      <c r="C1070">
        <v>41</v>
      </c>
      <c r="D1070">
        <v>1056000</v>
      </c>
      <c r="E1070" t="str">
        <f t="shared" si="32"/>
        <v>2025-03</v>
      </c>
      <c r="F1070" t="str">
        <f t="shared" si="33"/>
        <v>Tue</v>
      </c>
    </row>
    <row r="1071" spans="1:6" x14ac:dyDescent="0.3">
      <c r="A1071" s="1">
        <v>45721</v>
      </c>
      <c r="B1071" t="s">
        <v>16</v>
      </c>
      <c r="C1071">
        <v>36</v>
      </c>
      <c r="D1071">
        <v>1069000</v>
      </c>
      <c r="E1071" t="str">
        <f t="shared" si="32"/>
        <v>2025-03</v>
      </c>
      <c r="F1071" t="str">
        <f t="shared" si="33"/>
        <v>Wed</v>
      </c>
    </row>
    <row r="1072" spans="1:6" x14ac:dyDescent="0.3">
      <c r="A1072" s="1">
        <v>45722</v>
      </c>
      <c r="B1072" t="s">
        <v>16</v>
      </c>
      <c r="C1072">
        <v>36</v>
      </c>
      <c r="D1072">
        <v>1168000</v>
      </c>
      <c r="E1072" t="str">
        <f t="shared" si="32"/>
        <v>2025-03</v>
      </c>
      <c r="F1072" t="str">
        <f t="shared" si="33"/>
        <v>Thu</v>
      </c>
    </row>
    <row r="1073" spans="1:6" x14ac:dyDescent="0.3">
      <c r="A1073" s="1">
        <v>45723</v>
      </c>
      <c r="B1073" t="s">
        <v>16</v>
      </c>
      <c r="C1073">
        <v>41</v>
      </c>
      <c r="D1073">
        <v>984000</v>
      </c>
      <c r="E1073" t="str">
        <f t="shared" si="32"/>
        <v>2025-03</v>
      </c>
      <c r="F1073" t="str">
        <f t="shared" si="33"/>
        <v>Fri</v>
      </c>
    </row>
    <row r="1074" spans="1:6" x14ac:dyDescent="0.3">
      <c r="A1074" s="1">
        <v>45724</v>
      </c>
      <c r="B1074" t="s">
        <v>16</v>
      </c>
      <c r="C1074">
        <v>27</v>
      </c>
      <c r="D1074">
        <v>831000</v>
      </c>
      <c r="E1074" t="str">
        <f t="shared" si="32"/>
        <v>2025-03</v>
      </c>
      <c r="F1074" t="str">
        <f t="shared" si="33"/>
        <v>Sat</v>
      </c>
    </row>
    <row r="1075" spans="1:6" x14ac:dyDescent="0.3">
      <c r="A1075" s="1">
        <v>45725</v>
      </c>
      <c r="B1075" t="s">
        <v>16</v>
      </c>
      <c r="C1075">
        <v>22</v>
      </c>
      <c r="D1075">
        <v>730000</v>
      </c>
      <c r="E1075" t="str">
        <f t="shared" si="32"/>
        <v>2025-03</v>
      </c>
      <c r="F1075" t="str">
        <f t="shared" si="33"/>
        <v>Sun</v>
      </c>
    </row>
    <row r="1076" spans="1:6" x14ac:dyDescent="0.3">
      <c r="A1076" s="1">
        <v>45726</v>
      </c>
      <c r="B1076" t="s">
        <v>16</v>
      </c>
      <c r="C1076">
        <v>39</v>
      </c>
      <c r="D1076">
        <v>1015000</v>
      </c>
      <c r="E1076" t="str">
        <f t="shared" si="32"/>
        <v>2025-03</v>
      </c>
      <c r="F1076" t="str">
        <f t="shared" si="33"/>
        <v>Mon</v>
      </c>
    </row>
    <row r="1077" spans="1:6" x14ac:dyDescent="0.3">
      <c r="A1077" s="1">
        <v>45727</v>
      </c>
      <c r="B1077" t="s">
        <v>16</v>
      </c>
      <c r="C1077">
        <v>33</v>
      </c>
      <c r="D1077">
        <v>971000</v>
      </c>
      <c r="E1077" t="str">
        <f t="shared" si="32"/>
        <v>2025-03</v>
      </c>
      <c r="F1077" t="str">
        <f t="shared" si="33"/>
        <v>Tue</v>
      </c>
    </row>
    <row r="1078" spans="1:6" x14ac:dyDescent="0.3">
      <c r="A1078" s="1">
        <v>45728</v>
      </c>
      <c r="B1078" t="s">
        <v>16</v>
      </c>
      <c r="C1078">
        <v>45</v>
      </c>
      <c r="D1078">
        <v>1088000</v>
      </c>
      <c r="E1078" t="str">
        <f t="shared" si="32"/>
        <v>2025-03</v>
      </c>
      <c r="F1078" t="str">
        <f t="shared" si="33"/>
        <v>Wed</v>
      </c>
    </row>
    <row r="1079" spans="1:6" x14ac:dyDescent="0.3">
      <c r="A1079" s="1">
        <v>45729</v>
      </c>
      <c r="B1079" t="s">
        <v>16</v>
      </c>
      <c r="C1079">
        <v>36</v>
      </c>
      <c r="D1079">
        <v>1039000</v>
      </c>
      <c r="E1079" t="str">
        <f t="shared" si="32"/>
        <v>2025-03</v>
      </c>
      <c r="F1079" t="str">
        <f t="shared" si="33"/>
        <v>Thu</v>
      </c>
    </row>
    <row r="1080" spans="1:6" x14ac:dyDescent="0.3">
      <c r="A1080" s="1">
        <v>45730</v>
      </c>
      <c r="B1080" t="s">
        <v>16</v>
      </c>
      <c r="C1080">
        <v>35</v>
      </c>
      <c r="D1080">
        <v>932000</v>
      </c>
      <c r="E1080" t="str">
        <f t="shared" si="32"/>
        <v>2025-03</v>
      </c>
      <c r="F1080" t="str">
        <f t="shared" si="33"/>
        <v>Fri</v>
      </c>
    </row>
    <row r="1081" spans="1:6" x14ac:dyDescent="0.3">
      <c r="A1081" s="1">
        <v>45731</v>
      </c>
      <c r="B1081" t="s">
        <v>16</v>
      </c>
      <c r="C1081">
        <v>23</v>
      </c>
      <c r="D1081">
        <v>648000</v>
      </c>
      <c r="E1081" t="str">
        <f t="shared" si="32"/>
        <v>2025-03</v>
      </c>
      <c r="F1081" t="str">
        <f t="shared" si="33"/>
        <v>Sat</v>
      </c>
    </row>
    <row r="1082" spans="1:6" x14ac:dyDescent="0.3">
      <c r="A1082" s="1">
        <v>45732</v>
      </c>
      <c r="B1082" t="s">
        <v>16</v>
      </c>
      <c r="C1082">
        <v>27</v>
      </c>
      <c r="D1082">
        <v>685000</v>
      </c>
      <c r="E1082" t="str">
        <f t="shared" si="32"/>
        <v>2025-03</v>
      </c>
      <c r="F1082" t="str">
        <f t="shared" si="33"/>
        <v>Sun</v>
      </c>
    </row>
    <row r="1083" spans="1:6" x14ac:dyDescent="0.3">
      <c r="A1083" s="1">
        <v>45733</v>
      </c>
      <c r="B1083" t="s">
        <v>16</v>
      </c>
      <c r="C1083">
        <v>38</v>
      </c>
      <c r="D1083">
        <v>973000</v>
      </c>
      <c r="E1083" t="str">
        <f t="shared" si="32"/>
        <v>2025-03</v>
      </c>
      <c r="F1083" t="str">
        <f t="shared" si="33"/>
        <v>Mon</v>
      </c>
    </row>
    <row r="1084" spans="1:6" x14ac:dyDescent="0.3">
      <c r="A1084" s="1">
        <v>45734</v>
      </c>
      <c r="B1084" t="s">
        <v>16</v>
      </c>
      <c r="C1084">
        <v>43</v>
      </c>
      <c r="D1084">
        <v>1139000</v>
      </c>
      <c r="E1084" t="str">
        <f t="shared" si="32"/>
        <v>2025-03</v>
      </c>
      <c r="F1084" t="str">
        <f t="shared" si="33"/>
        <v>Tue</v>
      </c>
    </row>
    <row r="1085" spans="1:6" x14ac:dyDescent="0.3">
      <c r="A1085" s="1">
        <v>45735</v>
      </c>
      <c r="B1085" t="s">
        <v>16</v>
      </c>
      <c r="C1085">
        <v>45</v>
      </c>
      <c r="D1085">
        <v>1166000</v>
      </c>
      <c r="E1085" t="str">
        <f t="shared" si="32"/>
        <v>2025-03</v>
      </c>
      <c r="F1085" t="str">
        <f t="shared" si="33"/>
        <v>Wed</v>
      </c>
    </row>
    <row r="1086" spans="1:6" x14ac:dyDescent="0.3">
      <c r="A1086" s="1">
        <v>45736</v>
      </c>
      <c r="B1086" t="s">
        <v>16</v>
      </c>
      <c r="C1086">
        <v>43</v>
      </c>
      <c r="D1086">
        <v>1119000</v>
      </c>
      <c r="E1086" t="str">
        <f t="shared" si="32"/>
        <v>2025-03</v>
      </c>
      <c r="F1086" t="str">
        <f t="shared" si="33"/>
        <v>Thu</v>
      </c>
    </row>
    <row r="1087" spans="1:6" x14ac:dyDescent="0.3">
      <c r="A1087" s="1">
        <v>45737</v>
      </c>
      <c r="B1087" t="s">
        <v>16</v>
      </c>
      <c r="C1087">
        <v>39</v>
      </c>
      <c r="D1087">
        <v>1072000</v>
      </c>
      <c r="E1087" t="str">
        <f t="shared" si="32"/>
        <v>2025-03</v>
      </c>
      <c r="F1087" t="str">
        <f t="shared" si="33"/>
        <v>Fri</v>
      </c>
    </row>
    <row r="1088" spans="1:6" x14ac:dyDescent="0.3">
      <c r="A1088" s="1">
        <v>45738</v>
      </c>
      <c r="B1088" t="s">
        <v>16</v>
      </c>
      <c r="C1088">
        <v>28</v>
      </c>
      <c r="D1088">
        <v>696000</v>
      </c>
      <c r="E1088" t="str">
        <f t="shared" si="32"/>
        <v>2025-03</v>
      </c>
      <c r="F1088" t="str">
        <f t="shared" si="33"/>
        <v>Sat</v>
      </c>
    </row>
    <row r="1089" spans="1:6" x14ac:dyDescent="0.3">
      <c r="A1089" s="1">
        <v>45739</v>
      </c>
      <c r="B1089" t="s">
        <v>16</v>
      </c>
      <c r="C1089">
        <v>27</v>
      </c>
      <c r="D1089">
        <v>728000</v>
      </c>
      <c r="E1089" t="str">
        <f t="shared" si="32"/>
        <v>2025-03</v>
      </c>
      <c r="F1089" t="str">
        <f t="shared" si="33"/>
        <v>Sun</v>
      </c>
    </row>
    <row r="1090" spans="1:6" x14ac:dyDescent="0.3">
      <c r="A1090" s="1">
        <v>45740</v>
      </c>
      <c r="B1090" t="s">
        <v>16</v>
      </c>
      <c r="C1090">
        <v>39</v>
      </c>
      <c r="D1090">
        <v>1123000</v>
      </c>
      <c r="E1090" t="str">
        <f t="shared" ref="E1090:E1153" si="34">TEXT(A1090,"yyyy-mm")</f>
        <v>2025-03</v>
      </c>
      <c r="F1090" t="str">
        <f t="shared" ref="F1090:F1153" si="35">TEXT(A1090,"ddd")</f>
        <v>Mon</v>
      </c>
    </row>
    <row r="1091" spans="1:6" x14ac:dyDescent="0.3">
      <c r="A1091" s="1">
        <v>45741</v>
      </c>
      <c r="B1091" t="s">
        <v>16</v>
      </c>
      <c r="C1091">
        <v>57</v>
      </c>
      <c r="D1091">
        <v>1240000</v>
      </c>
      <c r="E1091" t="str">
        <f t="shared" si="34"/>
        <v>2025-03</v>
      </c>
      <c r="F1091" t="str">
        <f t="shared" si="35"/>
        <v>Tue</v>
      </c>
    </row>
    <row r="1092" spans="1:6" x14ac:dyDescent="0.3">
      <c r="A1092" s="1">
        <v>45742</v>
      </c>
      <c r="B1092" t="s">
        <v>16</v>
      </c>
      <c r="C1092">
        <v>40</v>
      </c>
      <c r="D1092">
        <v>1127000</v>
      </c>
      <c r="E1092" t="str">
        <f t="shared" si="34"/>
        <v>2025-03</v>
      </c>
      <c r="F1092" t="str">
        <f t="shared" si="35"/>
        <v>Wed</v>
      </c>
    </row>
    <row r="1093" spans="1:6" x14ac:dyDescent="0.3">
      <c r="A1093" s="1">
        <v>45743</v>
      </c>
      <c r="B1093" t="s">
        <v>16</v>
      </c>
      <c r="C1093">
        <v>39</v>
      </c>
      <c r="D1093">
        <v>1015000</v>
      </c>
      <c r="E1093" t="str">
        <f t="shared" si="34"/>
        <v>2025-03</v>
      </c>
      <c r="F1093" t="str">
        <f t="shared" si="35"/>
        <v>Thu</v>
      </c>
    </row>
    <row r="1094" spans="1:6" x14ac:dyDescent="0.3">
      <c r="A1094" s="1">
        <v>45744</v>
      </c>
      <c r="B1094" t="s">
        <v>16</v>
      </c>
      <c r="C1094">
        <v>42</v>
      </c>
      <c r="D1094">
        <v>1046000</v>
      </c>
      <c r="E1094" t="str">
        <f t="shared" si="34"/>
        <v>2025-03</v>
      </c>
      <c r="F1094" t="str">
        <f t="shared" si="35"/>
        <v>Fri</v>
      </c>
    </row>
    <row r="1095" spans="1:6" x14ac:dyDescent="0.3">
      <c r="A1095" s="1">
        <v>45745</v>
      </c>
      <c r="B1095" t="s">
        <v>16</v>
      </c>
      <c r="C1095">
        <v>29</v>
      </c>
      <c r="D1095">
        <v>695000</v>
      </c>
      <c r="E1095" t="str">
        <f t="shared" si="34"/>
        <v>2025-03</v>
      </c>
      <c r="F1095" t="str">
        <f t="shared" si="35"/>
        <v>Sat</v>
      </c>
    </row>
    <row r="1096" spans="1:6" x14ac:dyDescent="0.3">
      <c r="A1096" s="1">
        <v>45746</v>
      </c>
      <c r="B1096" t="s">
        <v>16</v>
      </c>
      <c r="C1096">
        <v>14</v>
      </c>
      <c r="D1096">
        <v>304000</v>
      </c>
      <c r="E1096" t="str">
        <f t="shared" si="34"/>
        <v>2025-03</v>
      </c>
      <c r="F1096" t="str">
        <f t="shared" si="35"/>
        <v>Sun</v>
      </c>
    </row>
    <row r="1097" spans="1:6" x14ac:dyDescent="0.3">
      <c r="A1097" s="1">
        <v>45747</v>
      </c>
      <c r="B1097" t="s">
        <v>16</v>
      </c>
      <c r="C1097">
        <v>20</v>
      </c>
      <c r="D1097">
        <v>462000</v>
      </c>
      <c r="E1097" t="str">
        <f t="shared" si="34"/>
        <v>2025-03</v>
      </c>
      <c r="F1097" t="str">
        <f t="shared" si="35"/>
        <v>Mon</v>
      </c>
    </row>
    <row r="1098" spans="1:6" x14ac:dyDescent="0.3">
      <c r="A1098" s="1">
        <v>45748</v>
      </c>
      <c r="B1098" t="s">
        <v>16</v>
      </c>
      <c r="C1098">
        <v>18</v>
      </c>
      <c r="D1098">
        <v>478000</v>
      </c>
      <c r="E1098" t="str">
        <f t="shared" si="34"/>
        <v>2025-04</v>
      </c>
      <c r="F1098" t="str">
        <f t="shared" si="35"/>
        <v>Tue</v>
      </c>
    </row>
    <row r="1099" spans="1:6" x14ac:dyDescent="0.3">
      <c r="A1099" s="1">
        <v>45749</v>
      </c>
      <c r="B1099" t="s">
        <v>16</v>
      </c>
      <c r="C1099">
        <v>25</v>
      </c>
      <c r="D1099">
        <v>548000</v>
      </c>
      <c r="E1099" t="str">
        <f t="shared" si="34"/>
        <v>2025-04</v>
      </c>
      <c r="F1099" t="str">
        <f t="shared" si="35"/>
        <v>Wed</v>
      </c>
    </row>
    <row r="1100" spans="1:6" x14ac:dyDescent="0.3">
      <c r="A1100" s="1">
        <v>45750</v>
      </c>
      <c r="B1100" t="s">
        <v>16</v>
      </c>
      <c r="C1100">
        <v>18</v>
      </c>
      <c r="D1100">
        <v>473000</v>
      </c>
      <c r="E1100" t="str">
        <f t="shared" si="34"/>
        <v>2025-04</v>
      </c>
      <c r="F1100" t="str">
        <f t="shared" si="35"/>
        <v>Thu</v>
      </c>
    </row>
    <row r="1101" spans="1:6" x14ac:dyDescent="0.3">
      <c r="A1101" s="1">
        <v>45751</v>
      </c>
      <c r="B1101" t="s">
        <v>16</v>
      </c>
      <c r="C1101">
        <v>46</v>
      </c>
      <c r="D1101">
        <v>1174000</v>
      </c>
      <c r="E1101" t="str">
        <f t="shared" si="34"/>
        <v>2025-04</v>
      </c>
      <c r="F1101" t="str">
        <f t="shared" si="35"/>
        <v>Fri</v>
      </c>
    </row>
    <row r="1102" spans="1:6" x14ac:dyDescent="0.3">
      <c r="A1102" s="1">
        <v>45752</v>
      </c>
      <c r="B1102" t="s">
        <v>16</v>
      </c>
      <c r="C1102">
        <v>29</v>
      </c>
      <c r="D1102">
        <v>845000</v>
      </c>
      <c r="E1102" t="str">
        <f t="shared" si="34"/>
        <v>2025-04</v>
      </c>
      <c r="F1102" t="str">
        <f t="shared" si="35"/>
        <v>Sat</v>
      </c>
    </row>
    <row r="1103" spans="1:6" x14ac:dyDescent="0.3">
      <c r="A1103" s="1">
        <v>45753</v>
      </c>
      <c r="B1103" t="s">
        <v>16</v>
      </c>
      <c r="C1103">
        <v>24</v>
      </c>
      <c r="D1103">
        <v>734000</v>
      </c>
      <c r="E1103" t="str">
        <f t="shared" si="34"/>
        <v>2025-04</v>
      </c>
      <c r="F1103" t="str">
        <f t="shared" si="35"/>
        <v>Sun</v>
      </c>
    </row>
    <row r="1104" spans="1:6" x14ac:dyDescent="0.3">
      <c r="A1104" s="1">
        <v>45754</v>
      </c>
      <c r="B1104" t="s">
        <v>16</v>
      </c>
      <c r="C1104">
        <v>49</v>
      </c>
      <c r="D1104">
        <v>1199000</v>
      </c>
      <c r="E1104" t="str">
        <f t="shared" si="34"/>
        <v>2025-04</v>
      </c>
      <c r="F1104" t="str">
        <f t="shared" si="35"/>
        <v>Mon</v>
      </c>
    </row>
    <row r="1105" spans="1:6" x14ac:dyDescent="0.3">
      <c r="A1105" s="1">
        <v>45755</v>
      </c>
      <c r="B1105" t="s">
        <v>16</v>
      </c>
      <c r="C1105">
        <v>37</v>
      </c>
      <c r="D1105">
        <v>1115000</v>
      </c>
      <c r="E1105" t="str">
        <f t="shared" si="34"/>
        <v>2025-04</v>
      </c>
      <c r="F1105" t="str">
        <f t="shared" si="35"/>
        <v>Tue</v>
      </c>
    </row>
    <row r="1106" spans="1:6" x14ac:dyDescent="0.3">
      <c r="A1106" s="1">
        <v>45756</v>
      </c>
      <c r="B1106" t="s">
        <v>16</v>
      </c>
      <c r="C1106">
        <v>30</v>
      </c>
      <c r="D1106">
        <v>1009000</v>
      </c>
      <c r="E1106" t="str">
        <f t="shared" si="34"/>
        <v>2025-04</v>
      </c>
      <c r="F1106" t="str">
        <f t="shared" si="35"/>
        <v>Wed</v>
      </c>
    </row>
    <row r="1107" spans="1:6" x14ac:dyDescent="0.3">
      <c r="A1107" s="1">
        <v>45757</v>
      </c>
      <c r="B1107" t="s">
        <v>16</v>
      </c>
      <c r="C1107">
        <v>40</v>
      </c>
      <c r="D1107">
        <v>1074000</v>
      </c>
      <c r="E1107" t="str">
        <f t="shared" si="34"/>
        <v>2025-04</v>
      </c>
      <c r="F1107" t="str">
        <f t="shared" si="35"/>
        <v>Thu</v>
      </c>
    </row>
    <row r="1108" spans="1:6" x14ac:dyDescent="0.3">
      <c r="A1108" s="1">
        <v>45758</v>
      </c>
      <c r="B1108" t="s">
        <v>16</v>
      </c>
      <c r="C1108">
        <v>36</v>
      </c>
      <c r="D1108">
        <v>1052000</v>
      </c>
      <c r="E1108" t="str">
        <f t="shared" si="34"/>
        <v>2025-04</v>
      </c>
      <c r="F1108" t="str">
        <f t="shared" si="35"/>
        <v>Fri</v>
      </c>
    </row>
    <row r="1109" spans="1:6" x14ac:dyDescent="0.3">
      <c r="A1109" s="1">
        <v>45759</v>
      </c>
      <c r="B1109" t="s">
        <v>16</v>
      </c>
      <c r="C1109">
        <v>26</v>
      </c>
      <c r="D1109">
        <v>716000</v>
      </c>
      <c r="E1109" t="str">
        <f t="shared" si="34"/>
        <v>2025-04</v>
      </c>
      <c r="F1109" t="str">
        <f t="shared" si="35"/>
        <v>Sat</v>
      </c>
    </row>
    <row r="1110" spans="1:6" x14ac:dyDescent="0.3">
      <c r="A1110" s="1">
        <v>45760</v>
      </c>
      <c r="B1110" t="s">
        <v>16</v>
      </c>
      <c r="C1110">
        <v>26</v>
      </c>
      <c r="D1110">
        <v>719000</v>
      </c>
      <c r="E1110" t="str">
        <f t="shared" si="34"/>
        <v>2025-04</v>
      </c>
      <c r="F1110" t="str">
        <f t="shared" si="35"/>
        <v>Sun</v>
      </c>
    </row>
    <row r="1111" spans="1:6" x14ac:dyDescent="0.3">
      <c r="A1111" s="1">
        <v>45761</v>
      </c>
      <c r="B1111" t="s">
        <v>16</v>
      </c>
      <c r="C1111">
        <v>39</v>
      </c>
      <c r="D1111">
        <v>1065000</v>
      </c>
      <c r="E1111" t="str">
        <f t="shared" si="34"/>
        <v>2025-04</v>
      </c>
      <c r="F1111" t="str">
        <f t="shared" si="35"/>
        <v>Mon</v>
      </c>
    </row>
    <row r="1112" spans="1:6" x14ac:dyDescent="0.3">
      <c r="A1112" s="1">
        <v>45762</v>
      </c>
      <c r="B1112" t="s">
        <v>16</v>
      </c>
      <c r="C1112">
        <v>41</v>
      </c>
      <c r="D1112">
        <v>1093000</v>
      </c>
      <c r="E1112" t="str">
        <f t="shared" si="34"/>
        <v>2025-04</v>
      </c>
      <c r="F1112" t="str">
        <f t="shared" si="35"/>
        <v>Tue</v>
      </c>
    </row>
    <row r="1113" spans="1:6" x14ac:dyDescent="0.3">
      <c r="A1113" s="1">
        <v>45763</v>
      </c>
      <c r="B1113" t="s">
        <v>16</v>
      </c>
      <c r="C1113">
        <v>33</v>
      </c>
      <c r="D1113">
        <v>968000</v>
      </c>
      <c r="E1113" t="str">
        <f t="shared" si="34"/>
        <v>2025-04</v>
      </c>
      <c r="F1113" t="str">
        <f t="shared" si="35"/>
        <v>Wed</v>
      </c>
    </row>
    <row r="1114" spans="1:6" x14ac:dyDescent="0.3">
      <c r="A1114" s="1">
        <v>45764</v>
      </c>
      <c r="B1114" t="s">
        <v>16</v>
      </c>
      <c r="C1114">
        <v>35</v>
      </c>
      <c r="D1114">
        <v>1052000</v>
      </c>
      <c r="E1114" t="str">
        <f t="shared" si="34"/>
        <v>2025-04</v>
      </c>
      <c r="F1114" t="str">
        <f t="shared" si="35"/>
        <v>Thu</v>
      </c>
    </row>
    <row r="1115" spans="1:6" x14ac:dyDescent="0.3">
      <c r="A1115" s="1">
        <v>45765</v>
      </c>
      <c r="B1115" t="s">
        <v>16</v>
      </c>
      <c r="C1115">
        <v>33</v>
      </c>
      <c r="D1115">
        <v>909000</v>
      </c>
      <c r="E1115" t="str">
        <f t="shared" si="34"/>
        <v>2025-04</v>
      </c>
      <c r="F1115" t="str">
        <f t="shared" si="35"/>
        <v>Fri</v>
      </c>
    </row>
    <row r="1116" spans="1:6" x14ac:dyDescent="0.3">
      <c r="A1116" s="1">
        <v>45766</v>
      </c>
      <c r="B1116" t="s">
        <v>16</v>
      </c>
      <c r="C1116">
        <v>24</v>
      </c>
      <c r="D1116">
        <v>751000</v>
      </c>
      <c r="E1116" t="str">
        <f t="shared" si="34"/>
        <v>2025-04</v>
      </c>
      <c r="F1116" t="str">
        <f t="shared" si="35"/>
        <v>Sat</v>
      </c>
    </row>
    <row r="1117" spans="1:6" x14ac:dyDescent="0.3">
      <c r="A1117" s="1">
        <v>45767</v>
      </c>
      <c r="B1117" t="s">
        <v>16</v>
      </c>
      <c r="C1117">
        <v>25</v>
      </c>
      <c r="D1117">
        <v>775000</v>
      </c>
      <c r="E1117" t="str">
        <f t="shared" si="34"/>
        <v>2025-04</v>
      </c>
      <c r="F1117" t="str">
        <f t="shared" si="35"/>
        <v>Sun</v>
      </c>
    </row>
    <row r="1118" spans="1:6" x14ac:dyDescent="0.3">
      <c r="A1118" s="1">
        <v>45768</v>
      </c>
      <c r="B1118" t="s">
        <v>16</v>
      </c>
      <c r="C1118">
        <v>36</v>
      </c>
      <c r="D1118">
        <v>1070000</v>
      </c>
      <c r="E1118" t="str">
        <f t="shared" si="34"/>
        <v>2025-04</v>
      </c>
      <c r="F1118" t="str">
        <f t="shared" si="35"/>
        <v>Mon</v>
      </c>
    </row>
    <row r="1119" spans="1:6" x14ac:dyDescent="0.3">
      <c r="A1119" s="1">
        <v>45769</v>
      </c>
      <c r="B1119" t="s">
        <v>16</v>
      </c>
      <c r="C1119">
        <v>41</v>
      </c>
      <c r="D1119">
        <v>1082000</v>
      </c>
      <c r="E1119" t="str">
        <f t="shared" si="34"/>
        <v>2025-04</v>
      </c>
      <c r="F1119" t="str">
        <f t="shared" si="35"/>
        <v>Tue</v>
      </c>
    </row>
    <row r="1120" spans="1:6" x14ac:dyDescent="0.3">
      <c r="A1120" s="1">
        <v>45770</v>
      </c>
      <c r="B1120" t="s">
        <v>16</v>
      </c>
      <c r="C1120">
        <v>34</v>
      </c>
      <c r="D1120">
        <v>1112000</v>
      </c>
      <c r="E1120" t="str">
        <f t="shared" si="34"/>
        <v>2025-04</v>
      </c>
      <c r="F1120" t="str">
        <f t="shared" si="35"/>
        <v>Wed</v>
      </c>
    </row>
    <row r="1121" spans="1:6" x14ac:dyDescent="0.3">
      <c r="A1121" s="1">
        <v>45771</v>
      </c>
      <c r="B1121" t="s">
        <v>16</v>
      </c>
      <c r="C1121">
        <v>32</v>
      </c>
      <c r="D1121">
        <v>993000</v>
      </c>
      <c r="E1121" t="str">
        <f t="shared" si="34"/>
        <v>2025-04</v>
      </c>
      <c r="F1121" t="str">
        <f t="shared" si="35"/>
        <v>Thu</v>
      </c>
    </row>
    <row r="1122" spans="1:6" x14ac:dyDescent="0.3">
      <c r="A1122" s="1">
        <v>45772</v>
      </c>
      <c r="B1122" t="s">
        <v>16</v>
      </c>
      <c r="C1122">
        <v>46</v>
      </c>
      <c r="D1122">
        <v>1034000</v>
      </c>
      <c r="E1122" t="str">
        <f t="shared" si="34"/>
        <v>2025-04</v>
      </c>
      <c r="F1122" t="str">
        <f t="shared" si="35"/>
        <v>Fri</v>
      </c>
    </row>
    <row r="1123" spans="1:6" x14ac:dyDescent="0.3">
      <c r="A1123" s="1">
        <v>45773</v>
      </c>
      <c r="B1123" t="s">
        <v>16</v>
      </c>
      <c r="C1123">
        <v>31</v>
      </c>
      <c r="D1123">
        <v>770000</v>
      </c>
      <c r="E1123" t="str">
        <f t="shared" si="34"/>
        <v>2025-04</v>
      </c>
      <c r="F1123" t="str">
        <f t="shared" si="35"/>
        <v>Sat</v>
      </c>
    </row>
    <row r="1124" spans="1:6" x14ac:dyDescent="0.3">
      <c r="A1124" s="1">
        <v>45774</v>
      </c>
      <c r="B1124" t="s">
        <v>16</v>
      </c>
      <c r="C1124">
        <v>30</v>
      </c>
      <c r="D1124">
        <v>803000</v>
      </c>
      <c r="E1124" t="str">
        <f t="shared" si="34"/>
        <v>2025-04</v>
      </c>
      <c r="F1124" t="str">
        <f t="shared" si="35"/>
        <v>Sun</v>
      </c>
    </row>
    <row r="1125" spans="1:6" x14ac:dyDescent="0.3">
      <c r="A1125" s="1">
        <v>45775</v>
      </c>
      <c r="B1125" t="s">
        <v>16</v>
      </c>
      <c r="C1125">
        <v>36</v>
      </c>
      <c r="D1125">
        <v>1096000</v>
      </c>
      <c r="E1125" t="str">
        <f t="shared" si="34"/>
        <v>2025-04</v>
      </c>
      <c r="F1125" t="str">
        <f t="shared" si="35"/>
        <v>Mon</v>
      </c>
    </row>
    <row r="1126" spans="1:6" x14ac:dyDescent="0.3">
      <c r="A1126" s="1">
        <v>45776</v>
      </c>
      <c r="B1126" t="s">
        <v>16</v>
      </c>
      <c r="C1126">
        <v>42</v>
      </c>
      <c r="D1126">
        <v>1302000</v>
      </c>
      <c r="E1126" t="str">
        <f t="shared" si="34"/>
        <v>2025-04</v>
      </c>
      <c r="F1126" t="str">
        <f t="shared" si="35"/>
        <v>Tue</v>
      </c>
    </row>
    <row r="1127" spans="1:6" x14ac:dyDescent="0.3">
      <c r="A1127" s="1">
        <v>45777</v>
      </c>
      <c r="B1127" t="s">
        <v>16</v>
      </c>
      <c r="C1127">
        <v>39</v>
      </c>
      <c r="D1127">
        <v>1051000</v>
      </c>
      <c r="E1127" t="str">
        <f t="shared" si="34"/>
        <v>2025-04</v>
      </c>
      <c r="F1127" t="str">
        <f t="shared" si="35"/>
        <v>Wed</v>
      </c>
    </row>
    <row r="1128" spans="1:6" x14ac:dyDescent="0.3">
      <c r="A1128" s="1">
        <v>45778</v>
      </c>
      <c r="B1128" t="s">
        <v>16</v>
      </c>
      <c r="C1128">
        <v>40</v>
      </c>
      <c r="D1128">
        <v>1155000</v>
      </c>
      <c r="E1128" t="str">
        <f t="shared" si="34"/>
        <v>2025-05</v>
      </c>
      <c r="F1128" t="str">
        <f t="shared" si="35"/>
        <v>Thu</v>
      </c>
    </row>
    <row r="1129" spans="1:6" x14ac:dyDescent="0.3">
      <c r="A1129" s="1">
        <v>45779</v>
      </c>
      <c r="B1129" t="s">
        <v>16</v>
      </c>
      <c r="C1129">
        <v>40</v>
      </c>
      <c r="D1129">
        <v>1181000</v>
      </c>
      <c r="E1129" t="str">
        <f t="shared" si="34"/>
        <v>2025-05</v>
      </c>
      <c r="F1129" t="str">
        <f t="shared" si="35"/>
        <v>Fri</v>
      </c>
    </row>
    <row r="1130" spans="1:6" x14ac:dyDescent="0.3">
      <c r="A1130" s="1">
        <v>45780</v>
      </c>
      <c r="B1130" t="s">
        <v>16</v>
      </c>
      <c r="C1130">
        <v>29</v>
      </c>
      <c r="D1130">
        <v>730000</v>
      </c>
      <c r="E1130" t="str">
        <f t="shared" si="34"/>
        <v>2025-05</v>
      </c>
      <c r="F1130" t="str">
        <f t="shared" si="35"/>
        <v>Sat</v>
      </c>
    </row>
    <row r="1131" spans="1:6" x14ac:dyDescent="0.3">
      <c r="A1131" s="1">
        <v>45781</v>
      </c>
      <c r="B1131" t="s">
        <v>16</v>
      </c>
      <c r="C1131">
        <v>23</v>
      </c>
      <c r="D1131">
        <v>685000</v>
      </c>
      <c r="E1131" t="str">
        <f t="shared" si="34"/>
        <v>2025-05</v>
      </c>
      <c r="F1131" t="str">
        <f t="shared" si="35"/>
        <v>Sun</v>
      </c>
    </row>
    <row r="1132" spans="1:6" x14ac:dyDescent="0.3">
      <c r="A1132" s="1">
        <v>45782</v>
      </c>
      <c r="B1132" t="s">
        <v>16</v>
      </c>
      <c r="C1132">
        <v>35</v>
      </c>
      <c r="D1132">
        <v>949000</v>
      </c>
      <c r="E1132" t="str">
        <f t="shared" si="34"/>
        <v>2025-05</v>
      </c>
      <c r="F1132" t="str">
        <f t="shared" si="35"/>
        <v>Mon</v>
      </c>
    </row>
    <row r="1133" spans="1:6" x14ac:dyDescent="0.3">
      <c r="A1133" s="1">
        <v>45783</v>
      </c>
      <c r="B1133" t="s">
        <v>16</v>
      </c>
      <c r="C1133">
        <v>38</v>
      </c>
      <c r="D1133">
        <v>1078000</v>
      </c>
      <c r="E1133" t="str">
        <f t="shared" si="34"/>
        <v>2025-05</v>
      </c>
      <c r="F1133" t="str">
        <f t="shared" si="35"/>
        <v>Tue</v>
      </c>
    </row>
    <row r="1134" spans="1:6" x14ac:dyDescent="0.3">
      <c r="A1134" s="1">
        <v>45784</v>
      </c>
      <c r="B1134" t="s">
        <v>16</v>
      </c>
      <c r="C1134">
        <v>42</v>
      </c>
      <c r="D1134">
        <v>1169000</v>
      </c>
      <c r="E1134" t="str">
        <f t="shared" si="34"/>
        <v>2025-05</v>
      </c>
      <c r="F1134" t="str">
        <f t="shared" si="35"/>
        <v>Wed</v>
      </c>
    </row>
    <row r="1135" spans="1:6" x14ac:dyDescent="0.3">
      <c r="A1135" s="1">
        <v>45785</v>
      </c>
      <c r="B1135" t="s">
        <v>16</v>
      </c>
      <c r="C1135">
        <v>44</v>
      </c>
      <c r="D1135">
        <v>1090000</v>
      </c>
      <c r="E1135" t="str">
        <f t="shared" si="34"/>
        <v>2025-05</v>
      </c>
      <c r="F1135" t="str">
        <f t="shared" si="35"/>
        <v>Thu</v>
      </c>
    </row>
    <row r="1136" spans="1:6" x14ac:dyDescent="0.3">
      <c r="A1136" s="1">
        <v>45786</v>
      </c>
      <c r="B1136" t="s">
        <v>16</v>
      </c>
      <c r="C1136">
        <v>42</v>
      </c>
      <c r="D1136">
        <v>1081000</v>
      </c>
      <c r="E1136" t="str">
        <f t="shared" si="34"/>
        <v>2025-05</v>
      </c>
      <c r="F1136" t="str">
        <f t="shared" si="35"/>
        <v>Fri</v>
      </c>
    </row>
    <row r="1137" spans="1:6" x14ac:dyDescent="0.3">
      <c r="A1137" s="1">
        <v>45787</v>
      </c>
      <c r="B1137" t="s">
        <v>16</v>
      </c>
      <c r="C1137">
        <v>25</v>
      </c>
      <c r="D1137">
        <v>716000</v>
      </c>
      <c r="E1137" t="str">
        <f t="shared" si="34"/>
        <v>2025-05</v>
      </c>
      <c r="F1137" t="str">
        <f t="shared" si="35"/>
        <v>Sat</v>
      </c>
    </row>
    <row r="1138" spans="1:6" x14ac:dyDescent="0.3">
      <c r="A1138" s="1">
        <v>45788</v>
      </c>
      <c r="B1138" t="s">
        <v>16</v>
      </c>
      <c r="C1138">
        <v>28</v>
      </c>
      <c r="D1138">
        <v>779000</v>
      </c>
      <c r="E1138" t="str">
        <f t="shared" si="34"/>
        <v>2025-05</v>
      </c>
      <c r="F1138" t="str">
        <f t="shared" si="35"/>
        <v>Sun</v>
      </c>
    </row>
    <row r="1139" spans="1:6" x14ac:dyDescent="0.3">
      <c r="A1139" s="1">
        <v>45789</v>
      </c>
      <c r="B1139" t="s">
        <v>16</v>
      </c>
      <c r="C1139">
        <v>31</v>
      </c>
      <c r="D1139">
        <v>861000</v>
      </c>
      <c r="E1139" t="str">
        <f t="shared" si="34"/>
        <v>2025-05</v>
      </c>
      <c r="F1139" t="str">
        <f t="shared" si="35"/>
        <v>Mon</v>
      </c>
    </row>
    <row r="1140" spans="1:6" x14ac:dyDescent="0.3">
      <c r="A1140" s="1">
        <v>45790</v>
      </c>
      <c r="B1140" t="s">
        <v>16</v>
      </c>
      <c r="C1140">
        <v>36</v>
      </c>
      <c r="D1140">
        <v>1088000</v>
      </c>
      <c r="E1140" t="str">
        <f t="shared" si="34"/>
        <v>2025-05</v>
      </c>
      <c r="F1140" t="str">
        <f t="shared" si="35"/>
        <v>Tue</v>
      </c>
    </row>
    <row r="1141" spans="1:6" x14ac:dyDescent="0.3">
      <c r="A1141" s="1">
        <v>45791</v>
      </c>
      <c r="B1141" t="s">
        <v>16</v>
      </c>
      <c r="C1141">
        <v>39</v>
      </c>
      <c r="D1141">
        <v>1069000</v>
      </c>
      <c r="E1141" t="str">
        <f t="shared" si="34"/>
        <v>2025-05</v>
      </c>
      <c r="F1141" t="str">
        <f t="shared" si="35"/>
        <v>Wed</v>
      </c>
    </row>
    <row r="1142" spans="1:6" x14ac:dyDescent="0.3">
      <c r="A1142" s="1">
        <v>45792</v>
      </c>
      <c r="B1142" t="s">
        <v>16</v>
      </c>
      <c r="C1142">
        <v>37</v>
      </c>
      <c r="D1142">
        <v>936000</v>
      </c>
      <c r="E1142" t="str">
        <f t="shared" si="34"/>
        <v>2025-05</v>
      </c>
      <c r="F1142" t="str">
        <f t="shared" si="35"/>
        <v>Thu</v>
      </c>
    </row>
    <row r="1143" spans="1:6" x14ac:dyDescent="0.3">
      <c r="A1143" s="1">
        <v>45793</v>
      </c>
      <c r="B1143" t="s">
        <v>16</v>
      </c>
      <c r="C1143">
        <v>47</v>
      </c>
      <c r="D1143">
        <v>1277000</v>
      </c>
      <c r="E1143" t="str">
        <f t="shared" si="34"/>
        <v>2025-05</v>
      </c>
      <c r="F1143" t="str">
        <f t="shared" si="35"/>
        <v>Fri</v>
      </c>
    </row>
    <row r="1144" spans="1:6" x14ac:dyDescent="0.3">
      <c r="A1144" s="1">
        <v>45794</v>
      </c>
      <c r="B1144" t="s">
        <v>16</v>
      </c>
      <c r="C1144">
        <v>24</v>
      </c>
      <c r="D1144">
        <v>651000</v>
      </c>
      <c r="E1144" t="str">
        <f t="shared" si="34"/>
        <v>2025-05</v>
      </c>
      <c r="F1144" t="str">
        <f t="shared" si="35"/>
        <v>Sat</v>
      </c>
    </row>
    <row r="1145" spans="1:6" x14ac:dyDescent="0.3">
      <c r="A1145" s="1">
        <v>45795</v>
      </c>
      <c r="B1145" t="s">
        <v>16</v>
      </c>
      <c r="C1145">
        <v>24</v>
      </c>
      <c r="D1145">
        <v>672000</v>
      </c>
      <c r="E1145" t="str">
        <f t="shared" si="34"/>
        <v>2025-05</v>
      </c>
      <c r="F1145" t="str">
        <f t="shared" si="35"/>
        <v>Sun</v>
      </c>
    </row>
    <row r="1146" spans="1:6" x14ac:dyDescent="0.3">
      <c r="A1146" s="1">
        <v>45796</v>
      </c>
      <c r="B1146" t="s">
        <v>16</v>
      </c>
      <c r="C1146">
        <v>31</v>
      </c>
      <c r="D1146">
        <v>954000</v>
      </c>
      <c r="E1146" t="str">
        <f t="shared" si="34"/>
        <v>2025-05</v>
      </c>
      <c r="F1146" t="str">
        <f t="shared" si="35"/>
        <v>Mon</v>
      </c>
    </row>
    <row r="1147" spans="1:6" x14ac:dyDescent="0.3">
      <c r="A1147" s="1">
        <v>45797</v>
      </c>
      <c r="B1147" t="s">
        <v>16</v>
      </c>
      <c r="C1147">
        <v>40</v>
      </c>
      <c r="D1147">
        <v>1177000</v>
      </c>
      <c r="E1147" t="str">
        <f t="shared" si="34"/>
        <v>2025-05</v>
      </c>
      <c r="F1147" t="str">
        <f t="shared" si="35"/>
        <v>Tue</v>
      </c>
    </row>
    <row r="1148" spans="1:6" x14ac:dyDescent="0.3">
      <c r="A1148" s="1">
        <v>45798</v>
      </c>
      <c r="B1148" t="s">
        <v>16</v>
      </c>
      <c r="C1148">
        <v>32</v>
      </c>
      <c r="D1148">
        <v>985000</v>
      </c>
      <c r="E1148" t="str">
        <f t="shared" si="34"/>
        <v>2025-05</v>
      </c>
      <c r="F1148" t="str">
        <f t="shared" si="35"/>
        <v>Wed</v>
      </c>
    </row>
    <row r="1149" spans="1:6" x14ac:dyDescent="0.3">
      <c r="A1149" s="1">
        <v>45799</v>
      </c>
      <c r="B1149" t="s">
        <v>16</v>
      </c>
      <c r="C1149">
        <v>38</v>
      </c>
      <c r="D1149">
        <v>1135000</v>
      </c>
      <c r="E1149" t="str">
        <f t="shared" si="34"/>
        <v>2025-05</v>
      </c>
      <c r="F1149" t="str">
        <f t="shared" si="35"/>
        <v>Thu</v>
      </c>
    </row>
    <row r="1150" spans="1:6" x14ac:dyDescent="0.3">
      <c r="A1150" s="1">
        <v>45800</v>
      </c>
      <c r="B1150" t="s">
        <v>16</v>
      </c>
      <c r="C1150">
        <v>41</v>
      </c>
      <c r="D1150">
        <v>1128000</v>
      </c>
      <c r="E1150" t="str">
        <f t="shared" si="34"/>
        <v>2025-05</v>
      </c>
      <c r="F1150" t="str">
        <f t="shared" si="35"/>
        <v>Fri</v>
      </c>
    </row>
    <row r="1151" spans="1:6" x14ac:dyDescent="0.3">
      <c r="A1151" s="1">
        <v>45801</v>
      </c>
      <c r="B1151" t="s">
        <v>16</v>
      </c>
      <c r="C1151">
        <v>25</v>
      </c>
      <c r="D1151">
        <v>764000</v>
      </c>
      <c r="E1151" t="str">
        <f t="shared" si="34"/>
        <v>2025-05</v>
      </c>
      <c r="F1151" t="str">
        <f t="shared" si="35"/>
        <v>Sat</v>
      </c>
    </row>
    <row r="1152" spans="1:6" x14ac:dyDescent="0.3">
      <c r="A1152" s="1">
        <v>45802</v>
      </c>
      <c r="B1152" t="s">
        <v>16</v>
      </c>
      <c r="C1152">
        <v>24</v>
      </c>
      <c r="D1152">
        <v>659000</v>
      </c>
      <c r="E1152" t="str">
        <f t="shared" si="34"/>
        <v>2025-05</v>
      </c>
      <c r="F1152" t="str">
        <f t="shared" si="35"/>
        <v>Sun</v>
      </c>
    </row>
    <row r="1153" spans="1:6" x14ac:dyDescent="0.3">
      <c r="A1153" s="1">
        <v>45803</v>
      </c>
      <c r="B1153" t="s">
        <v>16</v>
      </c>
      <c r="C1153">
        <v>35</v>
      </c>
      <c r="D1153">
        <v>1014000</v>
      </c>
      <c r="E1153" t="str">
        <f t="shared" si="34"/>
        <v>2025-05</v>
      </c>
      <c r="F1153" t="str">
        <f t="shared" si="35"/>
        <v>Mon</v>
      </c>
    </row>
    <row r="1154" spans="1:6" x14ac:dyDescent="0.3">
      <c r="A1154" s="1">
        <v>45804</v>
      </c>
      <c r="B1154" t="s">
        <v>16</v>
      </c>
      <c r="C1154">
        <v>48</v>
      </c>
      <c r="D1154">
        <v>1235000</v>
      </c>
      <c r="E1154" t="str">
        <f t="shared" ref="E1154:E1217" si="36">TEXT(A1154,"yyyy-mm")</f>
        <v>2025-05</v>
      </c>
      <c r="F1154" t="str">
        <f t="shared" ref="F1154:F1217" si="37">TEXT(A1154,"ddd")</f>
        <v>Tue</v>
      </c>
    </row>
    <row r="1155" spans="1:6" x14ac:dyDescent="0.3">
      <c r="A1155" s="1">
        <v>45805</v>
      </c>
      <c r="B1155" t="s">
        <v>16</v>
      </c>
      <c r="C1155">
        <v>34</v>
      </c>
      <c r="D1155">
        <v>949000</v>
      </c>
      <c r="E1155" t="str">
        <f t="shared" si="36"/>
        <v>2025-05</v>
      </c>
      <c r="F1155" t="str">
        <f t="shared" si="37"/>
        <v>Wed</v>
      </c>
    </row>
    <row r="1156" spans="1:6" x14ac:dyDescent="0.3">
      <c r="A1156" s="1">
        <v>45806</v>
      </c>
      <c r="B1156" t="s">
        <v>16</v>
      </c>
      <c r="C1156">
        <v>37</v>
      </c>
      <c r="D1156">
        <v>994000</v>
      </c>
      <c r="E1156" t="str">
        <f t="shared" si="36"/>
        <v>2025-05</v>
      </c>
      <c r="F1156" t="str">
        <f t="shared" si="37"/>
        <v>Thu</v>
      </c>
    </row>
    <row r="1157" spans="1:6" x14ac:dyDescent="0.3">
      <c r="A1157" s="1">
        <v>45807</v>
      </c>
      <c r="B1157" t="s">
        <v>16</v>
      </c>
      <c r="C1157">
        <v>37</v>
      </c>
      <c r="D1157">
        <v>1059000</v>
      </c>
      <c r="E1157" t="str">
        <f t="shared" si="36"/>
        <v>2025-05</v>
      </c>
      <c r="F1157" t="str">
        <f t="shared" si="37"/>
        <v>Fri</v>
      </c>
    </row>
    <row r="1158" spans="1:6" x14ac:dyDescent="0.3">
      <c r="A1158" s="1">
        <v>45808</v>
      </c>
      <c r="B1158" t="s">
        <v>16</v>
      </c>
      <c r="C1158">
        <v>25</v>
      </c>
      <c r="D1158">
        <v>804000</v>
      </c>
      <c r="E1158" t="str">
        <f t="shared" si="36"/>
        <v>2025-05</v>
      </c>
      <c r="F1158" t="str">
        <f t="shared" si="37"/>
        <v>Sat</v>
      </c>
    </row>
    <row r="1159" spans="1:6" x14ac:dyDescent="0.3">
      <c r="A1159" s="1">
        <v>45809</v>
      </c>
      <c r="B1159" t="s">
        <v>16</v>
      </c>
      <c r="C1159">
        <v>23</v>
      </c>
      <c r="D1159">
        <v>766000</v>
      </c>
      <c r="E1159" t="str">
        <f t="shared" si="36"/>
        <v>2025-06</v>
      </c>
      <c r="F1159" t="str">
        <f t="shared" si="37"/>
        <v>Sun</v>
      </c>
    </row>
    <row r="1160" spans="1:6" x14ac:dyDescent="0.3">
      <c r="A1160" s="1">
        <v>45810</v>
      </c>
      <c r="B1160" t="s">
        <v>16</v>
      </c>
      <c r="C1160">
        <v>38</v>
      </c>
      <c r="D1160">
        <v>1149000</v>
      </c>
      <c r="E1160" t="str">
        <f t="shared" si="36"/>
        <v>2025-06</v>
      </c>
      <c r="F1160" t="str">
        <f t="shared" si="37"/>
        <v>Mon</v>
      </c>
    </row>
    <row r="1161" spans="1:6" x14ac:dyDescent="0.3">
      <c r="A1161" s="1">
        <v>45811</v>
      </c>
      <c r="B1161" t="s">
        <v>16</v>
      </c>
      <c r="C1161">
        <v>35</v>
      </c>
      <c r="D1161">
        <v>974000</v>
      </c>
      <c r="E1161" t="str">
        <f t="shared" si="36"/>
        <v>2025-06</v>
      </c>
      <c r="F1161" t="str">
        <f t="shared" si="37"/>
        <v>Tue</v>
      </c>
    </row>
    <row r="1162" spans="1:6" x14ac:dyDescent="0.3">
      <c r="A1162" s="1">
        <v>45812</v>
      </c>
      <c r="B1162" t="s">
        <v>16</v>
      </c>
      <c r="C1162">
        <v>39</v>
      </c>
      <c r="D1162">
        <v>1169000</v>
      </c>
      <c r="E1162" t="str">
        <f t="shared" si="36"/>
        <v>2025-06</v>
      </c>
      <c r="F1162" t="str">
        <f t="shared" si="37"/>
        <v>Wed</v>
      </c>
    </row>
    <row r="1163" spans="1:6" x14ac:dyDescent="0.3">
      <c r="A1163" s="1">
        <v>45813</v>
      </c>
      <c r="B1163" t="s">
        <v>16</v>
      </c>
      <c r="C1163">
        <v>40</v>
      </c>
      <c r="D1163">
        <v>1133000</v>
      </c>
      <c r="E1163" t="str">
        <f t="shared" si="36"/>
        <v>2025-06</v>
      </c>
      <c r="F1163" t="str">
        <f t="shared" si="37"/>
        <v>Thu</v>
      </c>
    </row>
    <row r="1164" spans="1:6" x14ac:dyDescent="0.3">
      <c r="A1164" s="1">
        <v>45814</v>
      </c>
      <c r="B1164" t="s">
        <v>16</v>
      </c>
      <c r="C1164">
        <v>35</v>
      </c>
      <c r="D1164">
        <v>924000</v>
      </c>
      <c r="E1164" t="str">
        <f t="shared" si="36"/>
        <v>2025-06</v>
      </c>
      <c r="F1164" t="str">
        <f t="shared" si="37"/>
        <v>Fri</v>
      </c>
    </row>
    <row r="1165" spans="1:6" x14ac:dyDescent="0.3">
      <c r="A1165" s="1">
        <v>45815</v>
      </c>
      <c r="B1165" t="s">
        <v>16</v>
      </c>
      <c r="C1165">
        <v>31</v>
      </c>
      <c r="D1165">
        <v>856000</v>
      </c>
      <c r="E1165" t="str">
        <f t="shared" si="36"/>
        <v>2025-06</v>
      </c>
      <c r="F1165" t="str">
        <f t="shared" si="37"/>
        <v>Sat</v>
      </c>
    </row>
    <row r="1166" spans="1:6" x14ac:dyDescent="0.3">
      <c r="A1166" s="1">
        <v>45816</v>
      </c>
      <c r="B1166" t="s">
        <v>16</v>
      </c>
      <c r="C1166">
        <v>33</v>
      </c>
      <c r="D1166">
        <v>907000</v>
      </c>
      <c r="E1166" t="str">
        <f t="shared" si="36"/>
        <v>2025-06</v>
      </c>
      <c r="F1166" t="str">
        <f t="shared" si="37"/>
        <v>Sun</v>
      </c>
    </row>
    <row r="1167" spans="1:6" x14ac:dyDescent="0.3">
      <c r="A1167" s="1">
        <v>45817</v>
      </c>
      <c r="B1167" t="s">
        <v>16</v>
      </c>
      <c r="C1167">
        <v>38</v>
      </c>
      <c r="D1167">
        <v>1006000</v>
      </c>
      <c r="E1167" t="str">
        <f t="shared" si="36"/>
        <v>2025-06</v>
      </c>
      <c r="F1167" t="str">
        <f t="shared" si="37"/>
        <v>Mon</v>
      </c>
    </row>
    <row r="1168" spans="1:6" x14ac:dyDescent="0.3">
      <c r="A1168" s="1">
        <v>45818</v>
      </c>
      <c r="B1168" t="s">
        <v>16</v>
      </c>
      <c r="C1168">
        <v>35</v>
      </c>
      <c r="D1168">
        <v>1086000</v>
      </c>
      <c r="E1168" t="str">
        <f t="shared" si="36"/>
        <v>2025-06</v>
      </c>
      <c r="F1168" t="str">
        <f t="shared" si="37"/>
        <v>Tue</v>
      </c>
    </row>
    <row r="1169" spans="1:6" x14ac:dyDescent="0.3">
      <c r="A1169" s="1">
        <v>45819</v>
      </c>
      <c r="B1169" t="s">
        <v>16</v>
      </c>
      <c r="C1169">
        <v>46</v>
      </c>
      <c r="D1169">
        <v>1217000</v>
      </c>
      <c r="E1169" t="str">
        <f t="shared" si="36"/>
        <v>2025-06</v>
      </c>
      <c r="F1169" t="str">
        <f t="shared" si="37"/>
        <v>Wed</v>
      </c>
    </row>
    <row r="1170" spans="1:6" x14ac:dyDescent="0.3">
      <c r="A1170" s="1">
        <v>45820</v>
      </c>
      <c r="B1170" t="s">
        <v>16</v>
      </c>
      <c r="C1170">
        <v>35</v>
      </c>
      <c r="D1170">
        <v>938000</v>
      </c>
      <c r="E1170" t="str">
        <f t="shared" si="36"/>
        <v>2025-06</v>
      </c>
      <c r="F1170" t="str">
        <f t="shared" si="37"/>
        <v>Thu</v>
      </c>
    </row>
    <row r="1171" spans="1:6" x14ac:dyDescent="0.3">
      <c r="A1171" s="1">
        <v>45821</v>
      </c>
      <c r="B1171" t="s">
        <v>16</v>
      </c>
      <c r="C1171">
        <v>30</v>
      </c>
      <c r="D1171">
        <v>889000</v>
      </c>
      <c r="E1171" t="str">
        <f t="shared" si="36"/>
        <v>2025-06</v>
      </c>
      <c r="F1171" t="str">
        <f t="shared" si="37"/>
        <v>Fri</v>
      </c>
    </row>
    <row r="1172" spans="1:6" x14ac:dyDescent="0.3">
      <c r="A1172" s="1">
        <v>45822</v>
      </c>
      <c r="B1172" t="s">
        <v>16</v>
      </c>
      <c r="C1172">
        <v>25</v>
      </c>
      <c r="D1172">
        <v>666000</v>
      </c>
      <c r="E1172" t="str">
        <f t="shared" si="36"/>
        <v>2025-06</v>
      </c>
      <c r="F1172" t="str">
        <f t="shared" si="37"/>
        <v>Sat</v>
      </c>
    </row>
    <row r="1173" spans="1:6" x14ac:dyDescent="0.3">
      <c r="A1173" s="1">
        <v>45823</v>
      </c>
      <c r="B1173" t="s">
        <v>16</v>
      </c>
      <c r="C1173">
        <v>28</v>
      </c>
      <c r="D1173">
        <v>716000</v>
      </c>
      <c r="E1173" t="str">
        <f t="shared" si="36"/>
        <v>2025-06</v>
      </c>
      <c r="F1173" t="str">
        <f t="shared" si="37"/>
        <v>Sun</v>
      </c>
    </row>
    <row r="1174" spans="1:6" x14ac:dyDescent="0.3">
      <c r="A1174" s="1">
        <v>45824</v>
      </c>
      <c r="B1174" t="s">
        <v>16</v>
      </c>
      <c r="C1174">
        <v>40</v>
      </c>
      <c r="D1174">
        <v>1027000</v>
      </c>
      <c r="E1174" t="str">
        <f t="shared" si="36"/>
        <v>2025-06</v>
      </c>
      <c r="F1174" t="str">
        <f t="shared" si="37"/>
        <v>Mon</v>
      </c>
    </row>
    <row r="1175" spans="1:6" x14ac:dyDescent="0.3">
      <c r="A1175" s="1">
        <v>45825</v>
      </c>
      <c r="B1175" t="s">
        <v>16</v>
      </c>
      <c r="C1175">
        <v>39</v>
      </c>
      <c r="D1175">
        <v>1144000</v>
      </c>
      <c r="E1175" t="str">
        <f t="shared" si="36"/>
        <v>2025-06</v>
      </c>
      <c r="F1175" t="str">
        <f t="shared" si="37"/>
        <v>Tue</v>
      </c>
    </row>
    <row r="1176" spans="1:6" x14ac:dyDescent="0.3">
      <c r="A1176" s="1">
        <v>45826</v>
      </c>
      <c r="B1176" t="s">
        <v>16</v>
      </c>
      <c r="C1176">
        <v>38</v>
      </c>
      <c r="D1176">
        <v>1111000</v>
      </c>
      <c r="E1176" t="str">
        <f t="shared" si="36"/>
        <v>2025-06</v>
      </c>
      <c r="F1176" t="str">
        <f t="shared" si="37"/>
        <v>Wed</v>
      </c>
    </row>
    <row r="1177" spans="1:6" x14ac:dyDescent="0.3">
      <c r="A1177" s="1">
        <v>45827</v>
      </c>
      <c r="B1177" t="s">
        <v>16</v>
      </c>
      <c r="C1177">
        <v>33</v>
      </c>
      <c r="D1177">
        <v>964000</v>
      </c>
      <c r="E1177" t="str">
        <f t="shared" si="36"/>
        <v>2025-06</v>
      </c>
      <c r="F1177" t="str">
        <f t="shared" si="37"/>
        <v>Thu</v>
      </c>
    </row>
    <row r="1178" spans="1:6" x14ac:dyDescent="0.3">
      <c r="A1178" s="1">
        <v>45828</v>
      </c>
      <c r="B1178" t="s">
        <v>16</v>
      </c>
      <c r="C1178">
        <v>42</v>
      </c>
      <c r="D1178">
        <v>1141000</v>
      </c>
      <c r="E1178" t="str">
        <f t="shared" si="36"/>
        <v>2025-06</v>
      </c>
      <c r="F1178" t="str">
        <f t="shared" si="37"/>
        <v>Fri</v>
      </c>
    </row>
    <row r="1179" spans="1:6" x14ac:dyDescent="0.3">
      <c r="A1179" s="1">
        <v>45829</v>
      </c>
      <c r="B1179" t="s">
        <v>16</v>
      </c>
      <c r="C1179">
        <v>34</v>
      </c>
      <c r="D1179">
        <v>884000</v>
      </c>
      <c r="E1179" t="str">
        <f t="shared" si="36"/>
        <v>2025-06</v>
      </c>
      <c r="F1179" t="str">
        <f t="shared" si="37"/>
        <v>Sat</v>
      </c>
    </row>
    <row r="1180" spans="1:6" x14ac:dyDescent="0.3">
      <c r="A1180" s="1">
        <v>45830</v>
      </c>
      <c r="B1180" t="s">
        <v>16</v>
      </c>
      <c r="C1180">
        <v>28</v>
      </c>
      <c r="D1180">
        <v>839000</v>
      </c>
      <c r="E1180" t="str">
        <f t="shared" si="36"/>
        <v>2025-06</v>
      </c>
      <c r="F1180" t="str">
        <f t="shared" si="37"/>
        <v>Sun</v>
      </c>
    </row>
    <row r="1181" spans="1:6" x14ac:dyDescent="0.3">
      <c r="A1181" s="1">
        <v>45831</v>
      </c>
      <c r="B1181" t="s">
        <v>16</v>
      </c>
      <c r="C1181">
        <v>49</v>
      </c>
      <c r="D1181">
        <v>1185000</v>
      </c>
      <c r="E1181" t="str">
        <f t="shared" si="36"/>
        <v>2025-06</v>
      </c>
      <c r="F1181" t="str">
        <f t="shared" si="37"/>
        <v>Mon</v>
      </c>
    </row>
    <row r="1182" spans="1:6" x14ac:dyDescent="0.3">
      <c r="A1182" s="1">
        <v>45832</v>
      </c>
      <c r="B1182" t="s">
        <v>16</v>
      </c>
      <c r="C1182">
        <v>40</v>
      </c>
      <c r="D1182">
        <v>1090000</v>
      </c>
      <c r="E1182" t="str">
        <f t="shared" si="36"/>
        <v>2025-06</v>
      </c>
      <c r="F1182" t="str">
        <f t="shared" si="37"/>
        <v>Tue</v>
      </c>
    </row>
    <row r="1183" spans="1:6" x14ac:dyDescent="0.3">
      <c r="A1183" s="1">
        <v>45833</v>
      </c>
      <c r="B1183" t="s">
        <v>16</v>
      </c>
      <c r="C1183">
        <v>48</v>
      </c>
      <c r="D1183">
        <v>1185000</v>
      </c>
      <c r="E1183" t="str">
        <f t="shared" si="36"/>
        <v>2025-06</v>
      </c>
      <c r="F1183" t="str">
        <f t="shared" si="37"/>
        <v>Wed</v>
      </c>
    </row>
    <row r="1184" spans="1:6" x14ac:dyDescent="0.3">
      <c r="A1184" s="1">
        <v>45834</v>
      </c>
      <c r="B1184" t="s">
        <v>16</v>
      </c>
      <c r="C1184">
        <v>37</v>
      </c>
      <c r="D1184">
        <v>994000</v>
      </c>
      <c r="E1184" t="str">
        <f t="shared" si="36"/>
        <v>2025-06</v>
      </c>
      <c r="F1184" t="str">
        <f t="shared" si="37"/>
        <v>Thu</v>
      </c>
    </row>
    <row r="1185" spans="1:6" x14ac:dyDescent="0.3">
      <c r="A1185" s="1">
        <v>45835</v>
      </c>
      <c r="B1185" t="s">
        <v>16</v>
      </c>
      <c r="C1185">
        <v>42</v>
      </c>
      <c r="D1185">
        <v>1163000</v>
      </c>
      <c r="E1185" t="str">
        <f t="shared" si="36"/>
        <v>2025-06</v>
      </c>
      <c r="F1185" t="str">
        <f t="shared" si="37"/>
        <v>Fri</v>
      </c>
    </row>
    <row r="1186" spans="1:6" x14ac:dyDescent="0.3">
      <c r="A1186" s="1">
        <v>45836</v>
      </c>
      <c r="B1186" t="s">
        <v>16</v>
      </c>
      <c r="C1186">
        <v>24</v>
      </c>
      <c r="D1186">
        <v>753000</v>
      </c>
      <c r="E1186" t="str">
        <f t="shared" si="36"/>
        <v>2025-06</v>
      </c>
      <c r="F1186" t="str">
        <f t="shared" si="37"/>
        <v>Sat</v>
      </c>
    </row>
    <row r="1187" spans="1:6" x14ac:dyDescent="0.3">
      <c r="A1187" s="1">
        <v>45837</v>
      </c>
      <c r="B1187" t="s">
        <v>16</v>
      </c>
      <c r="C1187">
        <v>40</v>
      </c>
      <c r="D1187">
        <v>837000</v>
      </c>
      <c r="E1187" t="str">
        <f t="shared" si="36"/>
        <v>2025-06</v>
      </c>
      <c r="F1187" t="str">
        <f t="shared" si="37"/>
        <v>Sun</v>
      </c>
    </row>
    <row r="1188" spans="1:6" x14ac:dyDescent="0.3">
      <c r="A1188" s="1">
        <v>45838</v>
      </c>
      <c r="B1188" t="s">
        <v>16</v>
      </c>
      <c r="C1188">
        <v>36</v>
      </c>
      <c r="D1188">
        <v>1137000</v>
      </c>
      <c r="E1188" t="str">
        <f t="shared" si="36"/>
        <v>2025-06</v>
      </c>
      <c r="F1188" t="str">
        <f t="shared" si="37"/>
        <v>Mon</v>
      </c>
    </row>
    <row r="1189" spans="1:6" x14ac:dyDescent="0.3">
      <c r="A1189" s="1">
        <v>45839</v>
      </c>
      <c r="B1189" t="s">
        <v>16</v>
      </c>
      <c r="C1189">
        <v>38</v>
      </c>
      <c r="D1189">
        <v>985000</v>
      </c>
      <c r="E1189" t="str">
        <f t="shared" si="36"/>
        <v>2025-07</v>
      </c>
      <c r="F1189" t="str">
        <f t="shared" si="37"/>
        <v>Tue</v>
      </c>
    </row>
    <row r="1190" spans="1:6" x14ac:dyDescent="0.3">
      <c r="A1190" s="1">
        <v>45840</v>
      </c>
      <c r="B1190" t="s">
        <v>16</v>
      </c>
      <c r="C1190">
        <v>38</v>
      </c>
      <c r="D1190">
        <v>1105000</v>
      </c>
      <c r="E1190" t="str">
        <f t="shared" si="36"/>
        <v>2025-07</v>
      </c>
      <c r="F1190" t="str">
        <f t="shared" si="37"/>
        <v>Wed</v>
      </c>
    </row>
    <row r="1191" spans="1:6" x14ac:dyDescent="0.3">
      <c r="A1191" s="1">
        <v>45841</v>
      </c>
      <c r="B1191" t="s">
        <v>16</v>
      </c>
      <c r="C1191">
        <v>40</v>
      </c>
      <c r="D1191">
        <v>1213000</v>
      </c>
      <c r="E1191" t="str">
        <f t="shared" si="36"/>
        <v>2025-07</v>
      </c>
      <c r="F1191" t="str">
        <f t="shared" si="37"/>
        <v>Thu</v>
      </c>
    </row>
    <row r="1192" spans="1:6" x14ac:dyDescent="0.3">
      <c r="A1192" s="1">
        <v>45842</v>
      </c>
      <c r="B1192" t="s">
        <v>16</v>
      </c>
      <c r="C1192">
        <v>38</v>
      </c>
      <c r="D1192">
        <v>982000</v>
      </c>
      <c r="E1192" t="str">
        <f t="shared" si="36"/>
        <v>2025-07</v>
      </c>
      <c r="F1192" t="str">
        <f t="shared" si="37"/>
        <v>Fri</v>
      </c>
    </row>
    <row r="1193" spans="1:6" x14ac:dyDescent="0.3">
      <c r="A1193" s="1">
        <v>45843</v>
      </c>
      <c r="B1193" t="s">
        <v>16</v>
      </c>
      <c r="C1193">
        <v>26</v>
      </c>
      <c r="D1193">
        <v>723000</v>
      </c>
      <c r="E1193" t="str">
        <f t="shared" si="36"/>
        <v>2025-07</v>
      </c>
      <c r="F1193" t="str">
        <f t="shared" si="37"/>
        <v>Sat</v>
      </c>
    </row>
    <row r="1194" spans="1:6" x14ac:dyDescent="0.3">
      <c r="A1194" s="1">
        <v>45844</v>
      </c>
      <c r="B1194" t="s">
        <v>16</v>
      </c>
      <c r="C1194">
        <v>24</v>
      </c>
      <c r="D1194">
        <v>709000</v>
      </c>
      <c r="E1194" t="str">
        <f t="shared" si="36"/>
        <v>2025-07</v>
      </c>
      <c r="F1194" t="str">
        <f t="shared" si="37"/>
        <v>Sun</v>
      </c>
    </row>
    <row r="1195" spans="1:6" x14ac:dyDescent="0.3">
      <c r="A1195" s="1">
        <v>45845</v>
      </c>
      <c r="B1195" t="s">
        <v>16</v>
      </c>
      <c r="C1195">
        <v>34</v>
      </c>
      <c r="D1195">
        <v>947000</v>
      </c>
      <c r="E1195" t="str">
        <f t="shared" si="36"/>
        <v>2025-07</v>
      </c>
      <c r="F1195" t="str">
        <f t="shared" si="37"/>
        <v>Mon</v>
      </c>
    </row>
    <row r="1196" spans="1:6" x14ac:dyDescent="0.3">
      <c r="A1196" s="1">
        <v>45846</v>
      </c>
      <c r="B1196" t="s">
        <v>16</v>
      </c>
      <c r="C1196">
        <v>45</v>
      </c>
      <c r="D1196">
        <v>1190000</v>
      </c>
      <c r="E1196" t="str">
        <f t="shared" si="36"/>
        <v>2025-07</v>
      </c>
      <c r="F1196" t="str">
        <f t="shared" si="37"/>
        <v>Tue</v>
      </c>
    </row>
    <row r="1197" spans="1:6" x14ac:dyDescent="0.3">
      <c r="A1197" s="1">
        <v>45847</v>
      </c>
      <c r="B1197" t="s">
        <v>16</v>
      </c>
      <c r="C1197">
        <v>43</v>
      </c>
      <c r="D1197">
        <v>1225000</v>
      </c>
      <c r="E1197" t="str">
        <f t="shared" si="36"/>
        <v>2025-07</v>
      </c>
      <c r="F1197" t="str">
        <f t="shared" si="37"/>
        <v>Wed</v>
      </c>
    </row>
    <row r="1198" spans="1:6" x14ac:dyDescent="0.3">
      <c r="A1198" s="1">
        <v>45848</v>
      </c>
      <c r="B1198" t="s">
        <v>16</v>
      </c>
      <c r="C1198">
        <v>41</v>
      </c>
      <c r="D1198">
        <v>1175000</v>
      </c>
      <c r="E1198" t="str">
        <f t="shared" si="36"/>
        <v>2025-07</v>
      </c>
      <c r="F1198" t="str">
        <f t="shared" si="37"/>
        <v>Thu</v>
      </c>
    </row>
    <row r="1199" spans="1:6" x14ac:dyDescent="0.3">
      <c r="A1199" s="1">
        <v>45849</v>
      </c>
      <c r="B1199" t="s">
        <v>16</v>
      </c>
      <c r="C1199">
        <v>46</v>
      </c>
      <c r="D1199">
        <v>1121000</v>
      </c>
      <c r="E1199" t="str">
        <f t="shared" si="36"/>
        <v>2025-07</v>
      </c>
      <c r="F1199" t="str">
        <f t="shared" si="37"/>
        <v>Fri</v>
      </c>
    </row>
    <row r="1200" spans="1:6" x14ac:dyDescent="0.3">
      <c r="A1200" s="1">
        <v>45850</v>
      </c>
      <c r="B1200" t="s">
        <v>16</v>
      </c>
      <c r="C1200">
        <v>24</v>
      </c>
      <c r="D1200">
        <v>761000</v>
      </c>
      <c r="E1200" t="str">
        <f t="shared" si="36"/>
        <v>2025-07</v>
      </c>
      <c r="F1200" t="str">
        <f t="shared" si="37"/>
        <v>Sat</v>
      </c>
    </row>
    <row r="1201" spans="1:6" x14ac:dyDescent="0.3">
      <c r="A1201" s="1">
        <v>45851</v>
      </c>
      <c r="B1201" t="s">
        <v>16</v>
      </c>
      <c r="C1201">
        <v>27</v>
      </c>
      <c r="D1201">
        <v>781000</v>
      </c>
      <c r="E1201" t="str">
        <f t="shared" si="36"/>
        <v>2025-07</v>
      </c>
      <c r="F1201" t="str">
        <f t="shared" si="37"/>
        <v>Sun</v>
      </c>
    </row>
    <row r="1202" spans="1:6" x14ac:dyDescent="0.3">
      <c r="A1202" s="1">
        <v>45852</v>
      </c>
      <c r="B1202" t="s">
        <v>16</v>
      </c>
      <c r="C1202">
        <v>47</v>
      </c>
      <c r="D1202">
        <v>1026000</v>
      </c>
      <c r="E1202" t="str">
        <f t="shared" si="36"/>
        <v>2025-07</v>
      </c>
      <c r="F1202" t="str">
        <f t="shared" si="37"/>
        <v>Mon</v>
      </c>
    </row>
    <row r="1203" spans="1:6" x14ac:dyDescent="0.3">
      <c r="A1203" s="1">
        <v>45853</v>
      </c>
      <c r="B1203" t="s">
        <v>16</v>
      </c>
      <c r="C1203">
        <v>46</v>
      </c>
      <c r="D1203">
        <v>1187000</v>
      </c>
      <c r="E1203" t="str">
        <f t="shared" si="36"/>
        <v>2025-07</v>
      </c>
      <c r="F1203" t="str">
        <f t="shared" si="37"/>
        <v>Tue</v>
      </c>
    </row>
    <row r="1204" spans="1:6" x14ac:dyDescent="0.3">
      <c r="A1204" s="1">
        <v>45854</v>
      </c>
      <c r="B1204" t="s">
        <v>16</v>
      </c>
      <c r="C1204">
        <v>37</v>
      </c>
      <c r="D1204">
        <v>1203000</v>
      </c>
      <c r="E1204" t="str">
        <f t="shared" si="36"/>
        <v>2025-07</v>
      </c>
      <c r="F1204" t="str">
        <f t="shared" si="37"/>
        <v>Wed</v>
      </c>
    </row>
    <row r="1205" spans="1:6" x14ac:dyDescent="0.3">
      <c r="A1205" s="1">
        <v>45855</v>
      </c>
      <c r="B1205" t="s">
        <v>16</v>
      </c>
      <c r="C1205">
        <v>37</v>
      </c>
      <c r="D1205">
        <v>1192000</v>
      </c>
      <c r="E1205" t="str">
        <f t="shared" si="36"/>
        <v>2025-07</v>
      </c>
      <c r="F1205" t="str">
        <f t="shared" si="37"/>
        <v>Thu</v>
      </c>
    </row>
    <row r="1206" spans="1:6" x14ac:dyDescent="0.3">
      <c r="A1206" s="1">
        <v>45856</v>
      </c>
      <c r="B1206" t="s">
        <v>16</v>
      </c>
      <c r="C1206">
        <v>36</v>
      </c>
      <c r="D1206">
        <v>1048000</v>
      </c>
      <c r="E1206" t="str">
        <f t="shared" si="36"/>
        <v>2025-07</v>
      </c>
      <c r="F1206" t="str">
        <f t="shared" si="37"/>
        <v>Fri</v>
      </c>
    </row>
    <row r="1207" spans="1:6" x14ac:dyDescent="0.3">
      <c r="A1207" s="1">
        <v>45857</v>
      </c>
      <c r="B1207" t="s">
        <v>16</v>
      </c>
      <c r="C1207">
        <v>32</v>
      </c>
      <c r="D1207">
        <v>772000</v>
      </c>
      <c r="E1207" t="str">
        <f t="shared" si="36"/>
        <v>2025-07</v>
      </c>
      <c r="F1207" t="str">
        <f t="shared" si="37"/>
        <v>Sat</v>
      </c>
    </row>
    <row r="1208" spans="1:6" x14ac:dyDescent="0.3">
      <c r="A1208" s="1">
        <v>45858</v>
      </c>
      <c r="B1208" t="s">
        <v>16</v>
      </c>
      <c r="C1208">
        <v>27</v>
      </c>
      <c r="D1208">
        <v>756000</v>
      </c>
      <c r="E1208" t="str">
        <f t="shared" si="36"/>
        <v>2025-07</v>
      </c>
      <c r="F1208" t="str">
        <f t="shared" si="37"/>
        <v>Sun</v>
      </c>
    </row>
    <row r="1209" spans="1:6" x14ac:dyDescent="0.3">
      <c r="A1209" s="1">
        <v>45859</v>
      </c>
      <c r="B1209" t="s">
        <v>16</v>
      </c>
      <c r="C1209">
        <v>42</v>
      </c>
      <c r="D1209">
        <v>1280000</v>
      </c>
      <c r="E1209" t="str">
        <f t="shared" si="36"/>
        <v>2025-07</v>
      </c>
      <c r="F1209" t="str">
        <f t="shared" si="37"/>
        <v>Mon</v>
      </c>
    </row>
    <row r="1210" spans="1:6" x14ac:dyDescent="0.3">
      <c r="A1210" s="1">
        <v>45860</v>
      </c>
      <c r="B1210" t="s">
        <v>16</v>
      </c>
      <c r="C1210">
        <v>39</v>
      </c>
      <c r="D1210">
        <v>1121000</v>
      </c>
      <c r="E1210" t="str">
        <f t="shared" si="36"/>
        <v>2025-07</v>
      </c>
      <c r="F1210" t="str">
        <f t="shared" si="37"/>
        <v>Tue</v>
      </c>
    </row>
    <row r="1211" spans="1:6" x14ac:dyDescent="0.3">
      <c r="A1211" s="1">
        <v>45861</v>
      </c>
      <c r="B1211" t="s">
        <v>16</v>
      </c>
      <c r="C1211">
        <v>34</v>
      </c>
      <c r="D1211">
        <v>916000</v>
      </c>
      <c r="E1211" t="str">
        <f t="shared" si="36"/>
        <v>2025-07</v>
      </c>
      <c r="F1211" t="str">
        <f t="shared" si="37"/>
        <v>Wed</v>
      </c>
    </row>
    <row r="1212" spans="1:6" x14ac:dyDescent="0.3">
      <c r="A1212" s="1">
        <v>45862</v>
      </c>
      <c r="B1212" t="s">
        <v>16</v>
      </c>
      <c r="C1212">
        <v>44</v>
      </c>
      <c r="D1212">
        <v>1143000</v>
      </c>
      <c r="E1212" t="str">
        <f t="shared" si="36"/>
        <v>2025-07</v>
      </c>
      <c r="F1212" t="str">
        <f t="shared" si="37"/>
        <v>Thu</v>
      </c>
    </row>
    <row r="1213" spans="1:6" x14ac:dyDescent="0.3">
      <c r="A1213" s="1">
        <v>45863</v>
      </c>
      <c r="B1213" t="s">
        <v>16</v>
      </c>
      <c r="C1213">
        <v>43</v>
      </c>
      <c r="D1213">
        <v>1291000</v>
      </c>
      <c r="E1213" t="str">
        <f t="shared" si="36"/>
        <v>2025-07</v>
      </c>
      <c r="F1213" t="str">
        <f t="shared" si="37"/>
        <v>Fri</v>
      </c>
    </row>
    <row r="1214" spans="1:6" x14ac:dyDescent="0.3">
      <c r="A1214" s="1">
        <v>45864</v>
      </c>
      <c r="B1214" t="s">
        <v>16</v>
      </c>
      <c r="C1214">
        <v>30</v>
      </c>
      <c r="D1214">
        <v>817000</v>
      </c>
      <c r="E1214" t="str">
        <f t="shared" si="36"/>
        <v>2025-07</v>
      </c>
      <c r="F1214" t="str">
        <f t="shared" si="37"/>
        <v>Sat</v>
      </c>
    </row>
    <row r="1215" spans="1:6" x14ac:dyDescent="0.3">
      <c r="A1215" s="1">
        <v>45865</v>
      </c>
      <c r="B1215" t="s">
        <v>16</v>
      </c>
      <c r="C1215">
        <v>29</v>
      </c>
      <c r="D1215">
        <v>831000</v>
      </c>
      <c r="E1215" t="str">
        <f t="shared" si="36"/>
        <v>2025-07</v>
      </c>
      <c r="F1215" t="str">
        <f t="shared" si="37"/>
        <v>Sun</v>
      </c>
    </row>
    <row r="1216" spans="1:6" x14ac:dyDescent="0.3">
      <c r="A1216" s="1">
        <v>45866</v>
      </c>
      <c r="B1216" t="s">
        <v>16</v>
      </c>
      <c r="C1216">
        <v>38</v>
      </c>
      <c r="D1216">
        <v>1109000</v>
      </c>
      <c r="E1216" t="str">
        <f t="shared" si="36"/>
        <v>2025-07</v>
      </c>
      <c r="F1216" t="str">
        <f t="shared" si="37"/>
        <v>Mon</v>
      </c>
    </row>
    <row r="1217" spans="1:6" x14ac:dyDescent="0.3">
      <c r="A1217" s="1">
        <v>45867</v>
      </c>
      <c r="B1217" t="s">
        <v>16</v>
      </c>
      <c r="C1217">
        <v>28</v>
      </c>
      <c r="D1217">
        <v>910000</v>
      </c>
      <c r="E1217" t="str">
        <f t="shared" si="36"/>
        <v>2025-07</v>
      </c>
      <c r="F1217" t="str">
        <f t="shared" si="37"/>
        <v>Tue</v>
      </c>
    </row>
    <row r="1218" spans="1:6" x14ac:dyDescent="0.3">
      <c r="A1218" s="1">
        <v>45868</v>
      </c>
      <c r="B1218" t="s">
        <v>16</v>
      </c>
      <c r="C1218">
        <v>32</v>
      </c>
      <c r="D1218">
        <v>927000</v>
      </c>
      <c r="E1218" t="str">
        <f t="shared" ref="E1218:E1281" si="38">TEXT(A1218,"yyyy-mm")</f>
        <v>2025-07</v>
      </c>
      <c r="F1218" t="str">
        <f t="shared" ref="F1218:F1281" si="39">TEXT(A1218,"ddd")</f>
        <v>Wed</v>
      </c>
    </row>
    <row r="1219" spans="1:6" x14ac:dyDescent="0.3">
      <c r="A1219" s="1">
        <v>45869</v>
      </c>
      <c r="B1219" t="s">
        <v>16</v>
      </c>
      <c r="C1219">
        <v>34</v>
      </c>
      <c r="D1219">
        <v>983000</v>
      </c>
      <c r="E1219" t="str">
        <f t="shared" si="38"/>
        <v>2025-07</v>
      </c>
      <c r="F1219" t="str">
        <f t="shared" si="39"/>
        <v>Thu</v>
      </c>
    </row>
    <row r="1220" spans="1:6" x14ac:dyDescent="0.3">
      <c r="A1220" s="1">
        <v>45870</v>
      </c>
      <c r="B1220" t="s">
        <v>16</v>
      </c>
      <c r="C1220">
        <v>46</v>
      </c>
      <c r="D1220">
        <v>1095000</v>
      </c>
      <c r="E1220" t="str">
        <f t="shared" si="38"/>
        <v>2025-08</v>
      </c>
      <c r="F1220" t="str">
        <f t="shared" si="39"/>
        <v>Fri</v>
      </c>
    </row>
    <row r="1221" spans="1:6" x14ac:dyDescent="0.3">
      <c r="A1221" s="1">
        <v>45871</v>
      </c>
      <c r="B1221" t="s">
        <v>16</v>
      </c>
      <c r="C1221">
        <v>26</v>
      </c>
      <c r="D1221">
        <v>793000</v>
      </c>
      <c r="E1221" t="str">
        <f t="shared" si="38"/>
        <v>2025-08</v>
      </c>
      <c r="F1221" t="str">
        <f t="shared" si="39"/>
        <v>Sat</v>
      </c>
    </row>
    <row r="1222" spans="1:6" x14ac:dyDescent="0.3">
      <c r="A1222" s="1">
        <v>45872</v>
      </c>
      <c r="B1222" t="s">
        <v>16</v>
      </c>
      <c r="C1222">
        <v>27</v>
      </c>
      <c r="D1222">
        <v>820000</v>
      </c>
      <c r="E1222" t="str">
        <f t="shared" si="38"/>
        <v>2025-08</v>
      </c>
      <c r="F1222" t="str">
        <f t="shared" si="39"/>
        <v>Sun</v>
      </c>
    </row>
    <row r="1223" spans="1:6" x14ac:dyDescent="0.3">
      <c r="A1223" s="1">
        <v>45873</v>
      </c>
      <c r="B1223" t="s">
        <v>16</v>
      </c>
      <c r="C1223">
        <v>38</v>
      </c>
      <c r="D1223">
        <v>1075000</v>
      </c>
      <c r="E1223" t="str">
        <f t="shared" si="38"/>
        <v>2025-08</v>
      </c>
      <c r="F1223" t="str">
        <f t="shared" si="39"/>
        <v>Mon</v>
      </c>
    </row>
    <row r="1224" spans="1:6" x14ac:dyDescent="0.3">
      <c r="A1224" s="1">
        <v>45874</v>
      </c>
      <c r="B1224" t="s">
        <v>16</v>
      </c>
      <c r="C1224">
        <v>54</v>
      </c>
      <c r="D1224">
        <v>1206000</v>
      </c>
      <c r="E1224" t="str">
        <f t="shared" si="38"/>
        <v>2025-08</v>
      </c>
      <c r="F1224" t="str">
        <f t="shared" si="39"/>
        <v>Tue</v>
      </c>
    </row>
    <row r="1225" spans="1:6" x14ac:dyDescent="0.3">
      <c r="A1225" s="1">
        <v>45875</v>
      </c>
      <c r="B1225" t="s">
        <v>16</v>
      </c>
      <c r="C1225">
        <v>41</v>
      </c>
      <c r="D1225">
        <v>1083000</v>
      </c>
      <c r="E1225" t="str">
        <f t="shared" si="38"/>
        <v>2025-08</v>
      </c>
      <c r="F1225" t="str">
        <f t="shared" si="39"/>
        <v>Wed</v>
      </c>
    </row>
    <row r="1226" spans="1:6" x14ac:dyDescent="0.3">
      <c r="A1226" s="1">
        <v>45876</v>
      </c>
      <c r="B1226" t="s">
        <v>16</v>
      </c>
      <c r="C1226">
        <v>37</v>
      </c>
      <c r="D1226">
        <v>1041000</v>
      </c>
      <c r="E1226" t="str">
        <f t="shared" si="38"/>
        <v>2025-08</v>
      </c>
      <c r="F1226" t="str">
        <f t="shared" si="39"/>
        <v>Thu</v>
      </c>
    </row>
    <row r="1227" spans="1:6" x14ac:dyDescent="0.3">
      <c r="A1227" s="1">
        <v>45877</v>
      </c>
      <c r="B1227" t="s">
        <v>16</v>
      </c>
      <c r="C1227">
        <v>36</v>
      </c>
      <c r="D1227">
        <v>1197000</v>
      </c>
      <c r="E1227" t="str">
        <f t="shared" si="38"/>
        <v>2025-08</v>
      </c>
      <c r="F1227" t="str">
        <f t="shared" si="39"/>
        <v>Fri</v>
      </c>
    </row>
    <row r="1228" spans="1:6" x14ac:dyDescent="0.3">
      <c r="A1228" s="1">
        <v>45878</v>
      </c>
      <c r="B1228" t="s">
        <v>16</v>
      </c>
      <c r="C1228">
        <v>24</v>
      </c>
      <c r="D1228">
        <v>711000</v>
      </c>
      <c r="E1228" t="str">
        <f t="shared" si="38"/>
        <v>2025-08</v>
      </c>
      <c r="F1228" t="str">
        <f t="shared" si="39"/>
        <v>Sat</v>
      </c>
    </row>
    <row r="1229" spans="1:6" x14ac:dyDescent="0.3">
      <c r="A1229" s="1">
        <v>45879</v>
      </c>
      <c r="B1229" t="s">
        <v>16</v>
      </c>
      <c r="C1229">
        <v>19</v>
      </c>
      <c r="D1229">
        <v>585000</v>
      </c>
      <c r="E1229" t="str">
        <f t="shared" si="38"/>
        <v>2025-08</v>
      </c>
      <c r="F1229" t="str">
        <f t="shared" si="39"/>
        <v>Sun</v>
      </c>
    </row>
    <row r="1230" spans="1:6" x14ac:dyDescent="0.3">
      <c r="A1230" s="1">
        <v>45880</v>
      </c>
      <c r="B1230" t="s">
        <v>16</v>
      </c>
      <c r="C1230">
        <v>33</v>
      </c>
      <c r="D1230">
        <v>1007000</v>
      </c>
      <c r="E1230" t="str">
        <f t="shared" si="38"/>
        <v>2025-08</v>
      </c>
      <c r="F1230" t="str">
        <f t="shared" si="39"/>
        <v>Mon</v>
      </c>
    </row>
    <row r="1231" spans="1:6" x14ac:dyDescent="0.3">
      <c r="A1231" s="1">
        <v>45881</v>
      </c>
      <c r="B1231" t="s">
        <v>16</v>
      </c>
      <c r="C1231">
        <v>36</v>
      </c>
      <c r="D1231">
        <v>1123000</v>
      </c>
      <c r="E1231" t="str">
        <f t="shared" si="38"/>
        <v>2025-08</v>
      </c>
      <c r="F1231" t="str">
        <f t="shared" si="39"/>
        <v>Tue</v>
      </c>
    </row>
    <row r="1232" spans="1:6" x14ac:dyDescent="0.3">
      <c r="A1232" s="1">
        <v>45882</v>
      </c>
      <c r="B1232" t="s">
        <v>16</v>
      </c>
      <c r="C1232">
        <v>32</v>
      </c>
      <c r="D1232">
        <v>805000</v>
      </c>
      <c r="E1232" t="str">
        <f t="shared" si="38"/>
        <v>2025-08</v>
      </c>
      <c r="F1232" t="str">
        <f t="shared" si="39"/>
        <v>Wed</v>
      </c>
    </row>
    <row r="1233" spans="1:6" x14ac:dyDescent="0.3">
      <c r="A1233" s="1">
        <v>45883</v>
      </c>
      <c r="B1233" t="s">
        <v>16</v>
      </c>
      <c r="C1233">
        <v>42</v>
      </c>
      <c r="D1233">
        <v>1079000</v>
      </c>
      <c r="E1233" t="str">
        <f t="shared" si="38"/>
        <v>2025-08</v>
      </c>
      <c r="F1233" t="str">
        <f t="shared" si="39"/>
        <v>Thu</v>
      </c>
    </row>
    <row r="1234" spans="1:6" x14ac:dyDescent="0.3">
      <c r="A1234" s="1">
        <v>45884</v>
      </c>
      <c r="B1234" t="s">
        <v>16</v>
      </c>
      <c r="C1234">
        <v>43</v>
      </c>
      <c r="D1234">
        <v>1082000</v>
      </c>
      <c r="E1234" t="str">
        <f t="shared" si="38"/>
        <v>2025-08</v>
      </c>
      <c r="F1234" t="str">
        <f t="shared" si="39"/>
        <v>Fri</v>
      </c>
    </row>
    <row r="1235" spans="1:6" x14ac:dyDescent="0.3">
      <c r="A1235" s="1">
        <v>45885</v>
      </c>
      <c r="B1235" t="s">
        <v>16</v>
      </c>
      <c r="C1235">
        <v>25</v>
      </c>
      <c r="D1235">
        <v>677000</v>
      </c>
      <c r="E1235" t="str">
        <f t="shared" si="38"/>
        <v>2025-08</v>
      </c>
      <c r="F1235" t="str">
        <f t="shared" si="39"/>
        <v>Sat</v>
      </c>
    </row>
    <row r="1236" spans="1:6" x14ac:dyDescent="0.3">
      <c r="A1236" s="1">
        <v>45886</v>
      </c>
      <c r="B1236" t="s">
        <v>16</v>
      </c>
      <c r="C1236">
        <v>25</v>
      </c>
      <c r="D1236">
        <v>674000</v>
      </c>
      <c r="E1236" t="str">
        <f t="shared" si="38"/>
        <v>2025-08</v>
      </c>
      <c r="F1236" t="str">
        <f t="shared" si="39"/>
        <v>Sun</v>
      </c>
    </row>
    <row r="1237" spans="1:6" x14ac:dyDescent="0.3">
      <c r="A1237" s="1">
        <v>45887</v>
      </c>
      <c r="B1237" t="s">
        <v>16</v>
      </c>
      <c r="C1237">
        <v>38</v>
      </c>
      <c r="D1237">
        <v>1070000</v>
      </c>
      <c r="E1237" t="str">
        <f t="shared" si="38"/>
        <v>2025-08</v>
      </c>
      <c r="F1237" t="str">
        <f t="shared" si="39"/>
        <v>Mon</v>
      </c>
    </row>
    <row r="1238" spans="1:6" x14ac:dyDescent="0.3">
      <c r="A1238" s="1">
        <v>45888</v>
      </c>
      <c r="B1238" t="s">
        <v>16</v>
      </c>
      <c r="C1238">
        <v>42</v>
      </c>
      <c r="D1238">
        <v>1062000</v>
      </c>
      <c r="E1238" t="str">
        <f t="shared" si="38"/>
        <v>2025-08</v>
      </c>
      <c r="F1238" t="str">
        <f t="shared" si="39"/>
        <v>Tue</v>
      </c>
    </row>
    <row r="1239" spans="1:6" x14ac:dyDescent="0.3">
      <c r="A1239" s="1">
        <v>45889</v>
      </c>
      <c r="B1239" t="s">
        <v>16</v>
      </c>
      <c r="C1239">
        <v>44</v>
      </c>
      <c r="D1239">
        <v>1245000</v>
      </c>
      <c r="E1239" t="str">
        <f t="shared" si="38"/>
        <v>2025-08</v>
      </c>
      <c r="F1239" t="str">
        <f t="shared" si="39"/>
        <v>Wed</v>
      </c>
    </row>
    <row r="1240" spans="1:6" x14ac:dyDescent="0.3">
      <c r="A1240" s="1">
        <v>45890</v>
      </c>
      <c r="B1240" t="s">
        <v>16</v>
      </c>
      <c r="C1240">
        <v>45</v>
      </c>
      <c r="D1240">
        <v>1156000</v>
      </c>
      <c r="E1240" t="str">
        <f t="shared" si="38"/>
        <v>2025-08</v>
      </c>
      <c r="F1240" t="str">
        <f t="shared" si="39"/>
        <v>Thu</v>
      </c>
    </row>
    <row r="1241" spans="1:6" x14ac:dyDescent="0.3">
      <c r="A1241" s="1">
        <v>45891</v>
      </c>
      <c r="B1241" t="s">
        <v>16</v>
      </c>
      <c r="C1241">
        <v>29</v>
      </c>
      <c r="D1241">
        <v>960000</v>
      </c>
      <c r="E1241" t="str">
        <f t="shared" si="38"/>
        <v>2025-08</v>
      </c>
      <c r="F1241" t="str">
        <f t="shared" si="39"/>
        <v>Fri</v>
      </c>
    </row>
    <row r="1242" spans="1:6" x14ac:dyDescent="0.3">
      <c r="A1242" s="1">
        <v>45892</v>
      </c>
      <c r="B1242" t="s">
        <v>16</v>
      </c>
      <c r="C1242">
        <v>27</v>
      </c>
      <c r="D1242">
        <v>720000</v>
      </c>
      <c r="E1242" t="str">
        <f t="shared" si="38"/>
        <v>2025-08</v>
      </c>
      <c r="F1242" t="str">
        <f t="shared" si="39"/>
        <v>Sat</v>
      </c>
    </row>
    <row r="1243" spans="1:6" x14ac:dyDescent="0.3">
      <c r="A1243" s="1">
        <v>45893</v>
      </c>
      <c r="B1243" t="s">
        <v>16</v>
      </c>
      <c r="C1243">
        <v>24</v>
      </c>
      <c r="D1243">
        <v>829000</v>
      </c>
      <c r="E1243" t="str">
        <f t="shared" si="38"/>
        <v>2025-08</v>
      </c>
      <c r="F1243" t="str">
        <f t="shared" si="39"/>
        <v>Sun</v>
      </c>
    </row>
    <row r="1244" spans="1:6" x14ac:dyDescent="0.3">
      <c r="A1244" s="1">
        <v>45894</v>
      </c>
      <c r="B1244" t="s">
        <v>16</v>
      </c>
      <c r="C1244">
        <v>41</v>
      </c>
      <c r="D1244">
        <v>1312000</v>
      </c>
      <c r="E1244" t="str">
        <f t="shared" si="38"/>
        <v>2025-08</v>
      </c>
      <c r="F1244" t="str">
        <f t="shared" si="39"/>
        <v>Mon</v>
      </c>
    </row>
    <row r="1245" spans="1:6" x14ac:dyDescent="0.3">
      <c r="A1245" s="1">
        <v>45895</v>
      </c>
      <c r="B1245" t="s">
        <v>16</v>
      </c>
      <c r="C1245">
        <v>46</v>
      </c>
      <c r="D1245">
        <v>1160000</v>
      </c>
      <c r="E1245" t="str">
        <f t="shared" si="38"/>
        <v>2025-08</v>
      </c>
      <c r="F1245" t="str">
        <f t="shared" si="39"/>
        <v>Tue</v>
      </c>
    </row>
    <row r="1246" spans="1:6" x14ac:dyDescent="0.3">
      <c r="A1246" s="1">
        <v>45896</v>
      </c>
      <c r="B1246" t="s">
        <v>16</v>
      </c>
      <c r="C1246">
        <v>38</v>
      </c>
      <c r="D1246">
        <v>1153000</v>
      </c>
      <c r="E1246" t="str">
        <f t="shared" si="38"/>
        <v>2025-08</v>
      </c>
      <c r="F1246" t="str">
        <f t="shared" si="39"/>
        <v>Wed</v>
      </c>
    </row>
    <row r="1247" spans="1:6" x14ac:dyDescent="0.3">
      <c r="A1247" s="1">
        <v>45897</v>
      </c>
      <c r="B1247" t="s">
        <v>16</v>
      </c>
      <c r="C1247">
        <v>44</v>
      </c>
      <c r="D1247">
        <v>1310000</v>
      </c>
      <c r="E1247" t="str">
        <f t="shared" si="38"/>
        <v>2025-08</v>
      </c>
      <c r="F1247" t="str">
        <f t="shared" si="39"/>
        <v>Thu</v>
      </c>
    </row>
    <row r="1248" spans="1:6" x14ac:dyDescent="0.3">
      <c r="A1248" s="1">
        <v>45898</v>
      </c>
      <c r="B1248" t="s">
        <v>16</v>
      </c>
      <c r="C1248">
        <v>46</v>
      </c>
      <c r="D1248">
        <v>1120000</v>
      </c>
      <c r="E1248" t="str">
        <f t="shared" si="38"/>
        <v>2025-08</v>
      </c>
      <c r="F1248" t="str">
        <f t="shared" si="39"/>
        <v>Fri</v>
      </c>
    </row>
    <row r="1249" spans="1:6" x14ac:dyDescent="0.3">
      <c r="A1249" s="1">
        <v>45899</v>
      </c>
      <c r="B1249" t="s">
        <v>16</v>
      </c>
      <c r="C1249">
        <v>26</v>
      </c>
      <c r="D1249">
        <v>760000</v>
      </c>
      <c r="E1249" t="str">
        <f t="shared" si="38"/>
        <v>2025-08</v>
      </c>
      <c r="F1249" t="str">
        <f t="shared" si="39"/>
        <v>Sat</v>
      </c>
    </row>
    <row r="1250" spans="1:6" x14ac:dyDescent="0.3">
      <c r="A1250" s="1">
        <v>45900</v>
      </c>
      <c r="B1250" t="s">
        <v>16</v>
      </c>
      <c r="C1250">
        <v>25</v>
      </c>
      <c r="D1250">
        <v>683000</v>
      </c>
      <c r="E1250" t="str">
        <f t="shared" si="38"/>
        <v>2025-08</v>
      </c>
      <c r="F1250" t="str">
        <f t="shared" si="39"/>
        <v>Sun</v>
      </c>
    </row>
    <row r="1251" spans="1:6" x14ac:dyDescent="0.3">
      <c r="A1251" s="1">
        <v>45901</v>
      </c>
      <c r="B1251" t="s">
        <v>16</v>
      </c>
      <c r="C1251">
        <v>37</v>
      </c>
      <c r="D1251">
        <v>1072000</v>
      </c>
      <c r="E1251" t="str">
        <f t="shared" si="38"/>
        <v>2025-09</v>
      </c>
      <c r="F1251" t="str">
        <f t="shared" si="39"/>
        <v>Mon</v>
      </c>
    </row>
    <row r="1252" spans="1:6" x14ac:dyDescent="0.3">
      <c r="A1252" s="1">
        <v>45902</v>
      </c>
      <c r="B1252" t="s">
        <v>16</v>
      </c>
      <c r="C1252">
        <v>52</v>
      </c>
      <c r="D1252">
        <v>1345000</v>
      </c>
      <c r="E1252" t="str">
        <f t="shared" si="38"/>
        <v>2025-09</v>
      </c>
      <c r="F1252" t="str">
        <f t="shared" si="39"/>
        <v>Tue</v>
      </c>
    </row>
    <row r="1253" spans="1:6" x14ac:dyDescent="0.3">
      <c r="A1253" s="1">
        <v>45903</v>
      </c>
      <c r="B1253" t="s">
        <v>16</v>
      </c>
      <c r="C1253">
        <v>35</v>
      </c>
      <c r="D1253">
        <v>981000</v>
      </c>
      <c r="E1253" t="str">
        <f t="shared" si="38"/>
        <v>2025-09</v>
      </c>
      <c r="F1253" t="str">
        <f t="shared" si="39"/>
        <v>Wed</v>
      </c>
    </row>
    <row r="1254" spans="1:6" x14ac:dyDescent="0.3">
      <c r="A1254" s="1">
        <v>45904</v>
      </c>
      <c r="B1254" t="s">
        <v>16</v>
      </c>
      <c r="C1254">
        <v>39</v>
      </c>
      <c r="D1254">
        <v>1127000</v>
      </c>
      <c r="E1254" t="str">
        <f t="shared" si="38"/>
        <v>2025-09</v>
      </c>
      <c r="F1254" t="str">
        <f t="shared" si="39"/>
        <v>Thu</v>
      </c>
    </row>
    <row r="1255" spans="1:6" x14ac:dyDescent="0.3">
      <c r="A1255" s="1">
        <v>45905</v>
      </c>
      <c r="B1255" t="s">
        <v>16</v>
      </c>
      <c r="C1255">
        <v>36</v>
      </c>
      <c r="D1255">
        <v>983000</v>
      </c>
      <c r="E1255" t="str">
        <f t="shared" si="38"/>
        <v>2025-09</v>
      </c>
      <c r="F1255" t="str">
        <f t="shared" si="39"/>
        <v>Fri</v>
      </c>
    </row>
    <row r="1256" spans="1:6" x14ac:dyDescent="0.3">
      <c r="A1256" s="1">
        <v>45906</v>
      </c>
      <c r="B1256" t="s">
        <v>16</v>
      </c>
      <c r="C1256">
        <v>30</v>
      </c>
      <c r="D1256">
        <v>794000</v>
      </c>
      <c r="E1256" t="str">
        <f t="shared" si="38"/>
        <v>2025-09</v>
      </c>
      <c r="F1256" t="str">
        <f t="shared" si="39"/>
        <v>Sat</v>
      </c>
    </row>
    <row r="1257" spans="1:6" x14ac:dyDescent="0.3">
      <c r="A1257" s="1">
        <v>45907</v>
      </c>
      <c r="B1257" t="s">
        <v>16</v>
      </c>
      <c r="C1257">
        <v>31</v>
      </c>
      <c r="D1257">
        <v>848000</v>
      </c>
      <c r="E1257" t="str">
        <f t="shared" si="38"/>
        <v>2025-09</v>
      </c>
      <c r="F1257" t="str">
        <f t="shared" si="39"/>
        <v>Sun</v>
      </c>
    </row>
    <row r="1258" spans="1:6" x14ac:dyDescent="0.3">
      <c r="A1258" s="1">
        <v>45908</v>
      </c>
      <c r="B1258" t="s">
        <v>16</v>
      </c>
      <c r="C1258">
        <v>43</v>
      </c>
      <c r="D1258">
        <v>1103000</v>
      </c>
      <c r="E1258" t="str">
        <f t="shared" si="38"/>
        <v>2025-09</v>
      </c>
      <c r="F1258" t="str">
        <f t="shared" si="39"/>
        <v>Mon</v>
      </c>
    </row>
    <row r="1259" spans="1:6" x14ac:dyDescent="0.3">
      <c r="A1259" s="1">
        <v>45909</v>
      </c>
      <c r="B1259" t="s">
        <v>16</v>
      </c>
      <c r="C1259">
        <v>42</v>
      </c>
      <c r="D1259">
        <v>1202000</v>
      </c>
      <c r="E1259" t="str">
        <f t="shared" si="38"/>
        <v>2025-09</v>
      </c>
      <c r="F1259" t="str">
        <f t="shared" si="39"/>
        <v>Tue</v>
      </c>
    </row>
    <row r="1260" spans="1:6" x14ac:dyDescent="0.3">
      <c r="A1260" s="1">
        <v>45910</v>
      </c>
      <c r="B1260" t="s">
        <v>16</v>
      </c>
      <c r="C1260">
        <v>55</v>
      </c>
      <c r="D1260">
        <v>1202000</v>
      </c>
      <c r="E1260" t="str">
        <f t="shared" si="38"/>
        <v>2025-09</v>
      </c>
      <c r="F1260" t="str">
        <f t="shared" si="39"/>
        <v>Wed</v>
      </c>
    </row>
    <row r="1261" spans="1:6" x14ac:dyDescent="0.3">
      <c r="A1261" s="1">
        <v>45911</v>
      </c>
      <c r="B1261" t="s">
        <v>16</v>
      </c>
      <c r="C1261">
        <v>37</v>
      </c>
      <c r="D1261">
        <v>1175000</v>
      </c>
      <c r="E1261" t="str">
        <f t="shared" si="38"/>
        <v>2025-09</v>
      </c>
      <c r="F1261" t="str">
        <f t="shared" si="39"/>
        <v>Thu</v>
      </c>
    </row>
    <row r="1262" spans="1:6" x14ac:dyDescent="0.3">
      <c r="A1262" s="1">
        <v>45912</v>
      </c>
      <c r="B1262" t="s">
        <v>16</v>
      </c>
      <c r="C1262">
        <v>46</v>
      </c>
      <c r="D1262">
        <v>1304000</v>
      </c>
      <c r="E1262" t="str">
        <f t="shared" si="38"/>
        <v>2025-09</v>
      </c>
      <c r="F1262" t="str">
        <f t="shared" si="39"/>
        <v>Fri</v>
      </c>
    </row>
    <row r="1263" spans="1:6" x14ac:dyDescent="0.3">
      <c r="A1263" s="1">
        <v>45913</v>
      </c>
      <c r="B1263" t="s">
        <v>16</v>
      </c>
      <c r="C1263">
        <v>29</v>
      </c>
      <c r="D1263">
        <v>842000</v>
      </c>
      <c r="E1263" t="str">
        <f t="shared" si="38"/>
        <v>2025-09</v>
      </c>
      <c r="F1263" t="str">
        <f t="shared" si="39"/>
        <v>Sat</v>
      </c>
    </row>
    <row r="1264" spans="1:6" x14ac:dyDescent="0.3">
      <c r="A1264" s="1">
        <v>45914</v>
      </c>
      <c r="B1264" t="s">
        <v>16</v>
      </c>
      <c r="C1264">
        <v>25</v>
      </c>
      <c r="D1264">
        <v>766000</v>
      </c>
      <c r="E1264" t="str">
        <f t="shared" si="38"/>
        <v>2025-09</v>
      </c>
      <c r="F1264" t="str">
        <f t="shared" si="39"/>
        <v>Sun</v>
      </c>
    </row>
    <row r="1265" spans="1:6" x14ac:dyDescent="0.3">
      <c r="A1265" s="1">
        <v>45915</v>
      </c>
      <c r="B1265" t="s">
        <v>16</v>
      </c>
      <c r="C1265">
        <v>43</v>
      </c>
      <c r="D1265">
        <v>1062000</v>
      </c>
      <c r="E1265" t="str">
        <f t="shared" si="38"/>
        <v>2025-09</v>
      </c>
      <c r="F1265" t="str">
        <f t="shared" si="39"/>
        <v>Mon</v>
      </c>
    </row>
    <row r="1266" spans="1:6" x14ac:dyDescent="0.3">
      <c r="A1266" s="1">
        <v>45916</v>
      </c>
      <c r="B1266" t="s">
        <v>16</v>
      </c>
      <c r="C1266">
        <v>31</v>
      </c>
      <c r="D1266">
        <v>1046000</v>
      </c>
      <c r="E1266" t="str">
        <f t="shared" si="38"/>
        <v>2025-09</v>
      </c>
      <c r="F1266" t="str">
        <f t="shared" si="39"/>
        <v>Tue</v>
      </c>
    </row>
    <row r="1267" spans="1:6" x14ac:dyDescent="0.3">
      <c r="A1267" s="1">
        <v>45917</v>
      </c>
      <c r="B1267" t="s">
        <v>16</v>
      </c>
      <c r="C1267">
        <v>47</v>
      </c>
      <c r="D1267">
        <v>1181000</v>
      </c>
      <c r="E1267" t="str">
        <f t="shared" si="38"/>
        <v>2025-09</v>
      </c>
      <c r="F1267" t="str">
        <f t="shared" si="39"/>
        <v>Wed</v>
      </c>
    </row>
    <row r="1268" spans="1:6" x14ac:dyDescent="0.3">
      <c r="A1268" s="1">
        <v>45918</v>
      </c>
      <c r="B1268" t="s">
        <v>16</v>
      </c>
      <c r="C1268">
        <v>38</v>
      </c>
      <c r="D1268">
        <v>1100000</v>
      </c>
      <c r="E1268" t="str">
        <f t="shared" si="38"/>
        <v>2025-09</v>
      </c>
      <c r="F1268" t="str">
        <f t="shared" si="39"/>
        <v>Thu</v>
      </c>
    </row>
    <row r="1269" spans="1:6" x14ac:dyDescent="0.3">
      <c r="A1269" s="1">
        <v>45919</v>
      </c>
      <c r="B1269" t="s">
        <v>16</v>
      </c>
      <c r="C1269">
        <v>49</v>
      </c>
      <c r="D1269">
        <v>1412000</v>
      </c>
      <c r="E1269" t="str">
        <f t="shared" si="38"/>
        <v>2025-09</v>
      </c>
      <c r="F1269" t="str">
        <f t="shared" si="39"/>
        <v>Fri</v>
      </c>
    </row>
    <row r="1270" spans="1:6" x14ac:dyDescent="0.3">
      <c r="A1270" s="1">
        <v>45920</v>
      </c>
      <c r="B1270" t="s">
        <v>16</v>
      </c>
      <c r="C1270">
        <v>29</v>
      </c>
      <c r="D1270">
        <v>921000</v>
      </c>
      <c r="E1270" t="str">
        <f t="shared" si="38"/>
        <v>2025-09</v>
      </c>
      <c r="F1270" t="str">
        <f t="shared" si="39"/>
        <v>Sat</v>
      </c>
    </row>
    <row r="1271" spans="1:6" x14ac:dyDescent="0.3">
      <c r="A1271" s="1">
        <v>45921</v>
      </c>
      <c r="B1271" t="s">
        <v>16</v>
      </c>
      <c r="C1271">
        <v>28</v>
      </c>
      <c r="D1271">
        <v>775000</v>
      </c>
      <c r="E1271" t="str">
        <f t="shared" si="38"/>
        <v>2025-09</v>
      </c>
      <c r="F1271" t="str">
        <f t="shared" si="39"/>
        <v>Sun</v>
      </c>
    </row>
    <row r="1272" spans="1:6" x14ac:dyDescent="0.3">
      <c r="A1272" s="1">
        <v>45922</v>
      </c>
      <c r="B1272" t="s">
        <v>16</v>
      </c>
      <c r="C1272">
        <v>45</v>
      </c>
      <c r="D1272">
        <v>1101000</v>
      </c>
      <c r="E1272" t="str">
        <f t="shared" si="38"/>
        <v>2025-09</v>
      </c>
      <c r="F1272" t="str">
        <f t="shared" si="39"/>
        <v>Mon</v>
      </c>
    </row>
    <row r="1273" spans="1:6" x14ac:dyDescent="0.3">
      <c r="A1273" s="1">
        <v>45923</v>
      </c>
      <c r="B1273" t="s">
        <v>16</v>
      </c>
      <c r="C1273">
        <v>45</v>
      </c>
      <c r="D1273">
        <v>1308000</v>
      </c>
      <c r="E1273" t="str">
        <f t="shared" si="38"/>
        <v>2025-09</v>
      </c>
      <c r="F1273" t="str">
        <f t="shared" si="39"/>
        <v>Tue</v>
      </c>
    </row>
    <row r="1274" spans="1:6" x14ac:dyDescent="0.3">
      <c r="A1274" s="1">
        <v>45924</v>
      </c>
      <c r="B1274" t="s">
        <v>16</v>
      </c>
      <c r="C1274">
        <v>43</v>
      </c>
      <c r="D1274">
        <v>944000</v>
      </c>
      <c r="E1274" t="str">
        <f t="shared" si="38"/>
        <v>2025-09</v>
      </c>
      <c r="F1274" t="str">
        <f t="shared" si="39"/>
        <v>Wed</v>
      </c>
    </row>
    <row r="1275" spans="1:6" x14ac:dyDescent="0.3">
      <c r="A1275" s="1">
        <v>45925</v>
      </c>
      <c r="B1275" t="s">
        <v>16</v>
      </c>
      <c r="C1275">
        <v>40</v>
      </c>
      <c r="D1275">
        <v>1090000</v>
      </c>
      <c r="E1275" t="str">
        <f t="shared" si="38"/>
        <v>2025-09</v>
      </c>
      <c r="F1275" t="str">
        <f t="shared" si="39"/>
        <v>Thu</v>
      </c>
    </row>
    <row r="1276" spans="1:6" x14ac:dyDescent="0.3">
      <c r="A1276" s="1">
        <v>45926</v>
      </c>
      <c r="B1276" t="s">
        <v>16</v>
      </c>
      <c r="C1276">
        <v>46</v>
      </c>
      <c r="D1276">
        <v>1234000</v>
      </c>
      <c r="E1276" t="str">
        <f t="shared" si="38"/>
        <v>2025-09</v>
      </c>
      <c r="F1276" t="str">
        <f t="shared" si="39"/>
        <v>Fri</v>
      </c>
    </row>
    <row r="1277" spans="1:6" x14ac:dyDescent="0.3">
      <c r="A1277" s="1">
        <v>45927</v>
      </c>
      <c r="B1277" t="s">
        <v>16</v>
      </c>
      <c r="C1277">
        <v>23</v>
      </c>
      <c r="D1277">
        <v>727000</v>
      </c>
      <c r="E1277" t="str">
        <f t="shared" si="38"/>
        <v>2025-09</v>
      </c>
      <c r="F1277" t="str">
        <f t="shared" si="39"/>
        <v>Sat</v>
      </c>
    </row>
    <row r="1278" spans="1:6" x14ac:dyDescent="0.3">
      <c r="A1278" s="1">
        <v>45928</v>
      </c>
      <c r="B1278" t="s">
        <v>16</v>
      </c>
      <c r="C1278">
        <v>28</v>
      </c>
      <c r="D1278">
        <v>759000</v>
      </c>
      <c r="E1278" t="str">
        <f t="shared" si="38"/>
        <v>2025-09</v>
      </c>
      <c r="F1278" t="str">
        <f t="shared" si="39"/>
        <v>Sun</v>
      </c>
    </row>
    <row r="1279" spans="1:6" x14ac:dyDescent="0.3">
      <c r="A1279" s="1">
        <v>45929</v>
      </c>
      <c r="B1279" t="s">
        <v>16</v>
      </c>
      <c r="C1279">
        <v>41</v>
      </c>
      <c r="D1279">
        <v>1103000</v>
      </c>
      <c r="E1279" t="str">
        <f t="shared" si="38"/>
        <v>2025-09</v>
      </c>
      <c r="F1279" t="str">
        <f t="shared" si="39"/>
        <v>Mon</v>
      </c>
    </row>
    <row r="1280" spans="1:6" x14ac:dyDescent="0.3">
      <c r="A1280" s="1">
        <v>45930</v>
      </c>
      <c r="B1280" t="s">
        <v>16</v>
      </c>
      <c r="C1280">
        <v>46</v>
      </c>
      <c r="D1280">
        <v>1207000</v>
      </c>
      <c r="E1280" t="str">
        <f t="shared" si="38"/>
        <v>2025-09</v>
      </c>
      <c r="F1280" t="str">
        <f t="shared" si="39"/>
        <v>Tue</v>
      </c>
    </row>
    <row r="1281" spans="1:6" x14ac:dyDescent="0.3">
      <c r="A1281" s="1">
        <v>45931</v>
      </c>
      <c r="B1281" t="s">
        <v>16</v>
      </c>
      <c r="C1281">
        <v>45</v>
      </c>
      <c r="D1281">
        <v>1154000</v>
      </c>
      <c r="E1281" t="str">
        <f t="shared" si="38"/>
        <v>2025-10</v>
      </c>
      <c r="F1281" t="str">
        <f t="shared" si="39"/>
        <v>Wed</v>
      </c>
    </row>
    <row r="1282" spans="1:6" x14ac:dyDescent="0.3">
      <c r="A1282" s="1">
        <v>45932</v>
      </c>
      <c r="B1282" t="s">
        <v>16</v>
      </c>
      <c r="C1282">
        <v>44</v>
      </c>
      <c r="D1282">
        <v>1182000</v>
      </c>
      <c r="E1282" t="str">
        <f t="shared" ref="E1282:E1345" si="40">TEXT(A1282,"yyyy-mm")</f>
        <v>2025-10</v>
      </c>
      <c r="F1282" t="str">
        <f t="shared" ref="F1282:F1345" si="41">TEXT(A1282,"ddd")</f>
        <v>Thu</v>
      </c>
    </row>
    <row r="1283" spans="1:6" x14ac:dyDescent="0.3">
      <c r="A1283" s="1">
        <v>45933</v>
      </c>
      <c r="B1283" t="s">
        <v>16</v>
      </c>
      <c r="C1283">
        <v>41</v>
      </c>
      <c r="D1283">
        <v>1202000</v>
      </c>
      <c r="E1283" t="str">
        <f t="shared" si="40"/>
        <v>2025-10</v>
      </c>
      <c r="F1283" t="str">
        <f t="shared" si="41"/>
        <v>Fri</v>
      </c>
    </row>
    <row r="1284" spans="1:6" x14ac:dyDescent="0.3">
      <c r="A1284" s="1">
        <v>45934</v>
      </c>
      <c r="B1284" t="s">
        <v>16</v>
      </c>
      <c r="C1284">
        <v>32</v>
      </c>
      <c r="D1284">
        <v>797000</v>
      </c>
      <c r="E1284" t="str">
        <f t="shared" si="40"/>
        <v>2025-10</v>
      </c>
      <c r="F1284" t="str">
        <f t="shared" si="41"/>
        <v>Sat</v>
      </c>
    </row>
    <row r="1285" spans="1:6" x14ac:dyDescent="0.3">
      <c r="A1285" s="1">
        <v>45935</v>
      </c>
      <c r="B1285" t="s">
        <v>16</v>
      </c>
      <c r="C1285">
        <v>32</v>
      </c>
      <c r="D1285">
        <v>875000</v>
      </c>
      <c r="E1285" t="str">
        <f t="shared" si="40"/>
        <v>2025-10</v>
      </c>
      <c r="F1285" t="str">
        <f t="shared" si="41"/>
        <v>Sun</v>
      </c>
    </row>
    <row r="1286" spans="1:6" x14ac:dyDescent="0.3">
      <c r="A1286" s="1">
        <v>45936</v>
      </c>
      <c r="B1286" t="s">
        <v>16</v>
      </c>
      <c r="C1286">
        <v>44</v>
      </c>
      <c r="D1286">
        <v>1067000</v>
      </c>
      <c r="E1286" t="str">
        <f t="shared" si="40"/>
        <v>2025-10</v>
      </c>
      <c r="F1286" t="str">
        <f t="shared" si="41"/>
        <v>Mon</v>
      </c>
    </row>
    <row r="1287" spans="1:6" x14ac:dyDescent="0.3">
      <c r="A1287" s="1">
        <v>45937</v>
      </c>
      <c r="B1287" t="s">
        <v>16</v>
      </c>
      <c r="C1287">
        <v>36</v>
      </c>
      <c r="D1287">
        <v>995000</v>
      </c>
      <c r="E1287" t="str">
        <f t="shared" si="40"/>
        <v>2025-10</v>
      </c>
      <c r="F1287" t="str">
        <f t="shared" si="41"/>
        <v>Tue</v>
      </c>
    </row>
    <row r="1288" spans="1:6" x14ac:dyDescent="0.3">
      <c r="A1288" s="1">
        <v>45938</v>
      </c>
      <c r="B1288" t="s">
        <v>16</v>
      </c>
      <c r="C1288">
        <v>34</v>
      </c>
      <c r="D1288">
        <v>961000</v>
      </c>
      <c r="E1288" t="str">
        <f t="shared" si="40"/>
        <v>2025-10</v>
      </c>
      <c r="F1288" t="str">
        <f t="shared" si="41"/>
        <v>Wed</v>
      </c>
    </row>
    <row r="1289" spans="1:6" x14ac:dyDescent="0.3">
      <c r="A1289" s="1">
        <v>45939</v>
      </c>
      <c r="B1289" t="s">
        <v>16</v>
      </c>
      <c r="C1289">
        <v>39</v>
      </c>
      <c r="D1289">
        <v>977000</v>
      </c>
      <c r="E1289" t="str">
        <f t="shared" si="40"/>
        <v>2025-10</v>
      </c>
      <c r="F1289" t="str">
        <f t="shared" si="41"/>
        <v>Thu</v>
      </c>
    </row>
    <row r="1290" spans="1:6" x14ac:dyDescent="0.3">
      <c r="A1290" s="1">
        <v>45940</v>
      </c>
      <c r="B1290" t="s">
        <v>16</v>
      </c>
      <c r="C1290">
        <v>41</v>
      </c>
      <c r="D1290">
        <v>1088000</v>
      </c>
      <c r="E1290" t="str">
        <f t="shared" si="40"/>
        <v>2025-10</v>
      </c>
      <c r="F1290" t="str">
        <f t="shared" si="41"/>
        <v>Fri</v>
      </c>
    </row>
    <row r="1291" spans="1:6" x14ac:dyDescent="0.3">
      <c r="A1291" s="1">
        <v>45941</v>
      </c>
      <c r="B1291" t="s">
        <v>16</v>
      </c>
      <c r="C1291">
        <v>31</v>
      </c>
      <c r="D1291">
        <v>871000</v>
      </c>
      <c r="E1291" t="str">
        <f t="shared" si="40"/>
        <v>2025-10</v>
      </c>
      <c r="F1291" t="str">
        <f t="shared" si="41"/>
        <v>Sat</v>
      </c>
    </row>
    <row r="1292" spans="1:6" x14ac:dyDescent="0.3">
      <c r="A1292" s="1">
        <v>45942</v>
      </c>
      <c r="B1292" t="s">
        <v>16</v>
      </c>
      <c r="C1292">
        <v>27</v>
      </c>
      <c r="D1292">
        <v>810000</v>
      </c>
      <c r="E1292" t="str">
        <f t="shared" si="40"/>
        <v>2025-10</v>
      </c>
      <c r="F1292" t="str">
        <f t="shared" si="41"/>
        <v>Sun</v>
      </c>
    </row>
    <row r="1293" spans="1:6" x14ac:dyDescent="0.3">
      <c r="A1293" s="1">
        <v>45943</v>
      </c>
      <c r="B1293" t="s">
        <v>16</v>
      </c>
      <c r="C1293">
        <v>36</v>
      </c>
      <c r="D1293">
        <v>1084000</v>
      </c>
      <c r="E1293" t="str">
        <f t="shared" si="40"/>
        <v>2025-10</v>
      </c>
      <c r="F1293" t="str">
        <f t="shared" si="41"/>
        <v>Mon</v>
      </c>
    </row>
    <row r="1294" spans="1:6" x14ac:dyDescent="0.3">
      <c r="A1294" s="1">
        <v>45944</v>
      </c>
      <c r="B1294" t="s">
        <v>16</v>
      </c>
      <c r="C1294">
        <v>37</v>
      </c>
      <c r="D1294">
        <v>1036000</v>
      </c>
      <c r="E1294" t="str">
        <f t="shared" si="40"/>
        <v>2025-10</v>
      </c>
      <c r="F1294" t="str">
        <f t="shared" si="41"/>
        <v>Tue</v>
      </c>
    </row>
    <row r="1295" spans="1:6" x14ac:dyDescent="0.3">
      <c r="A1295" s="1">
        <v>45945</v>
      </c>
      <c r="B1295" t="s">
        <v>16</v>
      </c>
      <c r="C1295">
        <v>43</v>
      </c>
      <c r="D1295">
        <v>1092000</v>
      </c>
      <c r="E1295" t="str">
        <f t="shared" si="40"/>
        <v>2025-10</v>
      </c>
      <c r="F1295" t="str">
        <f t="shared" si="41"/>
        <v>Wed</v>
      </c>
    </row>
    <row r="1296" spans="1:6" x14ac:dyDescent="0.3">
      <c r="A1296" s="1">
        <v>45946</v>
      </c>
      <c r="B1296" t="s">
        <v>16</v>
      </c>
      <c r="C1296">
        <v>46</v>
      </c>
      <c r="D1296">
        <v>1106000</v>
      </c>
      <c r="E1296" t="str">
        <f t="shared" si="40"/>
        <v>2025-10</v>
      </c>
      <c r="F1296" t="str">
        <f t="shared" si="41"/>
        <v>Thu</v>
      </c>
    </row>
    <row r="1297" spans="1:6" x14ac:dyDescent="0.3">
      <c r="A1297" s="1">
        <v>45947</v>
      </c>
      <c r="B1297" t="s">
        <v>16</v>
      </c>
      <c r="C1297">
        <v>36</v>
      </c>
      <c r="D1297">
        <v>1090000</v>
      </c>
      <c r="E1297" t="str">
        <f t="shared" si="40"/>
        <v>2025-10</v>
      </c>
      <c r="F1297" t="str">
        <f t="shared" si="41"/>
        <v>Fri</v>
      </c>
    </row>
    <row r="1298" spans="1:6" x14ac:dyDescent="0.3">
      <c r="A1298" s="1">
        <v>45948</v>
      </c>
      <c r="B1298" t="s">
        <v>16</v>
      </c>
      <c r="C1298">
        <v>22</v>
      </c>
      <c r="D1298">
        <v>697000</v>
      </c>
      <c r="E1298" t="str">
        <f t="shared" si="40"/>
        <v>2025-10</v>
      </c>
      <c r="F1298" t="str">
        <f t="shared" si="41"/>
        <v>Sat</v>
      </c>
    </row>
    <row r="1299" spans="1:6" x14ac:dyDescent="0.3">
      <c r="A1299" s="1">
        <v>45949</v>
      </c>
      <c r="B1299" t="s">
        <v>16</v>
      </c>
      <c r="C1299">
        <v>26</v>
      </c>
      <c r="D1299">
        <v>766000</v>
      </c>
      <c r="E1299" t="str">
        <f t="shared" si="40"/>
        <v>2025-10</v>
      </c>
      <c r="F1299" t="str">
        <f t="shared" si="41"/>
        <v>Sun</v>
      </c>
    </row>
    <row r="1300" spans="1:6" x14ac:dyDescent="0.3">
      <c r="A1300" s="1">
        <v>45950</v>
      </c>
      <c r="B1300" t="s">
        <v>16</v>
      </c>
      <c r="C1300">
        <v>39</v>
      </c>
      <c r="D1300">
        <v>1255000</v>
      </c>
      <c r="E1300" t="str">
        <f t="shared" si="40"/>
        <v>2025-10</v>
      </c>
      <c r="F1300" t="str">
        <f t="shared" si="41"/>
        <v>Mon</v>
      </c>
    </row>
    <row r="1301" spans="1:6" x14ac:dyDescent="0.3">
      <c r="A1301" s="1">
        <v>45951</v>
      </c>
      <c r="B1301" t="s">
        <v>16</v>
      </c>
      <c r="C1301">
        <v>34</v>
      </c>
      <c r="D1301">
        <v>925000</v>
      </c>
      <c r="E1301" t="str">
        <f t="shared" si="40"/>
        <v>2025-10</v>
      </c>
      <c r="F1301" t="str">
        <f t="shared" si="41"/>
        <v>Tue</v>
      </c>
    </row>
    <row r="1302" spans="1:6" x14ac:dyDescent="0.3">
      <c r="A1302" s="1">
        <v>45952</v>
      </c>
      <c r="B1302" t="s">
        <v>16</v>
      </c>
      <c r="C1302">
        <v>42</v>
      </c>
      <c r="D1302">
        <v>1126000</v>
      </c>
      <c r="E1302" t="str">
        <f t="shared" si="40"/>
        <v>2025-10</v>
      </c>
      <c r="F1302" t="str">
        <f t="shared" si="41"/>
        <v>Wed</v>
      </c>
    </row>
    <row r="1303" spans="1:6" x14ac:dyDescent="0.3">
      <c r="A1303" s="1">
        <v>45953</v>
      </c>
      <c r="B1303" t="s">
        <v>16</v>
      </c>
      <c r="C1303">
        <v>29</v>
      </c>
      <c r="D1303">
        <v>931000</v>
      </c>
      <c r="E1303" t="str">
        <f t="shared" si="40"/>
        <v>2025-10</v>
      </c>
      <c r="F1303" t="str">
        <f t="shared" si="41"/>
        <v>Thu</v>
      </c>
    </row>
    <row r="1304" spans="1:6" x14ac:dyDescent="0.3">
      <c r="A1304" s="1">
        <v>45954</v>
      </c>
      <c r="B1304" t="s">
        <v>16</v>
      </c>
      <c r="C1304">
        <v>46</v>
      </c>
      <c r="D1304">
        <v>1171000</v>
      </c>
      <c r="E1304" t="str">
        <f t="shared" si="40"/>
        <v>2025-10</v>
      </c>
      <c r="F1304" t="str">
        <f t="shared" si="41"/>
        <v>Fri</v>
      </c>
    </row>
    <row r="1305" spans="1:6" x14ac:dyDescent="0.3">
      <c r="A1305" s="1">
        <v>45955</v>
      </c>
      <c r="B1305" t="s">
        <v>16</v>
      </c>
      <c r="C1305">
        <v>25</v>
      </c>
      <c r="D1305">
        <v>748000</v>
      </c>
      <c r="E1305" t="str">
        <f t="shared" si="40"/>
        <v>2025-10</v>
      </c>
      <c r="F1305" t="str">
        <f t="shared" si="41"/>
        <v>Sat</v>
      </c>
    </row>
    <row r="1306" spans="1:6" x14ac:dyDescent="0.3">
      <c r="A1306" s="1">
        <v>45956</v>
      </c>
      <c r="B1306" t="s">
        <v>16</v>
      </c>
      <c r="C1306">
        <v>23</v>
      </c>
      <c r="D1306">
        <v>652000</v>
      </c>
      <c r="E1306" t="str">
        <f t="shared" si="40"/>
        <v>2025-10</v>
      </c>
      <c r="F1306" t="str">
        <f t="shared" si="41"/>
        <v>Sun</v>
      </c>
    </row>
    <row r="1307" spans="1:6" x14ac:dyDescent="0.3">
      <c r="A1307" s="1">
        <v>45957</v>
      </c>
      <c r="B1307" t="s">
        <v>16</v>
      </c>
      <c r="C1307">
        <v>41</v>
      </c>
      <c r="D1307">
        <v>1164000</v>
      </c>
      <c r="E1307" t="str">
        <f t="shared" si="40"/>
        <v>2025-10</v>
      </c>
      <c r="F1307" t="str">
        <f t="shared" si="41"/>
        <v>Mon</v>
      </c>
    </row>
    <row r="1308" spans="1:6" x14ac:dyDescent="0.3">
      <c r="A1308" s="1">
        <v>45958</v>
      </c>
      <c r="B1308" t="s">
        <v>16</v>
      </c>
      <c r="C1308">
        <v>42</v>
      </c>
      <c r="D1308">
        <v>1343000</v>
      </c>
      <c r="E1308" t="str">
        <f t="shared" si="40"/>
        <v>2025-10</v>
      </c>
      <c r="F1308" t="str">
        <f t="shared" si="41"/>
        <v>Tue</v>
      </c>
    </row>
    <row r="1309" spans="1:6" x14ac:dyDescent="0.3">
      <c r="A1309" s="1">
        <v>45959</v>
      </c>
      <c r="B1309" t="s">
        <v>16</v>
      </c>
      <c r="C1309">
        <v>45</v>
      </c>
      <c r="D1309">
        <v>1166000</v>
      </c>
      <c r="E1309" t="str">
        <f t="shared" si="40"/>
        <v>2025-10</v>
      </c>
      <c r="F1309" t="str">
        <f t="shared" si="41"/>
        <v>Wed</v>
      </c>
    </row>
    <row r="1310" spans="1:6" x14ac:dyDescent="0.3">
      <c r="A1310" s="1">
        <v>45960</v>
      </c>
      <c r="B1310" t="s">
        <v>16</v>
      </c>
      <c r="C1310">
        <v>47</v>
      </c>
      <c r="D1310">
        <v>1276000</v>
      </c>
      <c r="E1310" t="str">
        <f t="shared" si="40"/>
        <v>2025-10</v>
      </c>
      <c r="F1310" t="str">
        <f t="shared" si="41"/>
        <v>Thu</v>
      </c>
    </row>
    <row r="1311" spans="1:6" x14ac:dyDescent="0.3">
      <c r="A1311" s="1">
        <v>45961</v>
      </c>
      <c r="B1311" t="s">
        <v>16</v>
      </c>
      <c r="C1311">
        <v>50</v>
      </c>
      <c r="D1311">
        <v>1148000</v>
      </c>
      <c r="E1311" t="str">
        <f t="shared" si="40"/>
        <v>2025-10</v>
      </c>
      <c r="F1311" t="str">
        <f t="shared" si="41"/>
        <v>Fri</v>
      </c>
    </row>
    <row r="1312" spans="1:6" x14ac:dyDescent="0.3">
      <c r="A1312" s="1">
        <v>45962</v>
      </c>
      <c r="B1312" t="s">
        <v>16</v>
      </c>
      <c r="C1312">
        <v>26</v>
      </c>
      <c r="D1312">
        <v>649000</v>
      </c>
      <c r="E1312" t="str">
        <f t="shared" si="40"/>
        <v>2025-11</v>
      </c>
      <c r="F1312" t="str">
        <f t="shared" si="41"/>
        <v>Sat</v>
      </c>
    </row>
    <row r="1313" spans="1:6" x14ac:dyDescent="0.3">
      <c r="A1313" s="1">
        <v>45963</v>
      </c>
      <c r="B1313" t="s">
        <v>16</v>
      </c>
      <c r="C1313">
        <v>31</v>
      </c>
      <c r="D1313">
        <v>841000</v>
      </c>
      <c r="E1313" t="str">
        <f t="shared" si="40"/>
        <v>2025-11</v>
      </c>
      <c r="F1313" t="str">
        <f t="shared" si="41"/>
        <v>Sun</v>
      </c>
    </row>
    <row r="1314" spans="1:6" x14ac:dyDescent="0.3">
      <c r="A1314" s="1">
        <v>45964</v>
      </c>
      <c r="B1314" t="s">
        <v>16</v>
      </c>
      <c r="C1314">
        <v>41</v>
      </c>
      <c r="D1314">
        <v>1113000</v>
      </c>
      <c r="E1314" t="str">
        <f t="shared" si="40"/>
        <v>2025-11</v>
      </c>
      <c r="F1314" t="str">
        <f t="shared" si="41"/>
        <v>Mon</v>
      </c>
    </row>
    <row r="1315" spans="1:6" x14ac:dyDescent="0.3">
      <c r="A1315" s="1">
        <v>45965</v>
      </c>
      <c r="B1315" t="s">
        <v>16</v>
      </c>
      <c r="C1315">
        <v>37</v>
      </c>
      <c r="D1315">
        <v>1005000</v>
      </c>
      <c r="E1315" t="str">
        <f t="shared" si="40"/>
        <v>2025-11</v>
      </c>
      <c r="F1315" t="str">
        <f t="shared" si="41"/>
        <v>Tue</v>
      </c>
    </row>
    <row r="1316" spans="1:6" x14ac:dyDescent="0.3">
      <c r="A1316" s="1">
        <v>45966</v>
      </c>
      <c r="B1316" t="s">
        <v>16</v>
      </c>
      <c r="C1316">
        <v>43</v>
      </c>
      <c r="D1316">
        <v>1240000</v>
      </c>
      <c r="E1316" t="str">
        <f t="shared" si="40"/>
        <v>2025-11</v>
      </c>
      <c r="F1316" t="str">
        <f t="shared" si="41"/>
        <v>Wed</v>
      </c>
    </row>
    <row r="1317" spans="1:6" x14ac:dyDescent="0.3">
      <c r="A1317" s="1">
        <v>45967</v>
      </c>
      <c r="B1317" t="s">
        <v>16</v>
      </c>
      <c r="C1317">
        <v>45</v>
      </c>
      <c r="D1317">
        <v>1188000</v>
      </c>
      <c r="E1317" t="str">
        <f t="shared" si="40"/>
        <v>2025-11</v>
      </c>
      <c r="F1317" t="str">
        <f t="shared" si="41"/>
        <v>Thu</v>
      </c>
    </row>
    <row r="1318" spans="1:6" x14ac:dyDescent="0.3">
      <c r="A1318" s="1">
        <v>45968</v>
      </c>
      <c r="B1318" t="s">
        <v>16</v>
      </c>
      <c r="C1318">
        <v>48</v>
      </c>
      <c r="D1318">
        <v>1104000</v>
      </c>
      <c r="E1318" t="str">
        <f t="shared" si="40"/>
        <v>2025-11</v>
      </c>
      <c r="F1318" t="str">
        <f t="shared" si="41"/>
        <v>Fri</v>
      </c>
    </row>
    <row r="1319" spans="1:6" x14ac:dyDescent="0.3">
      <c r="A1319" s="1">
        <v>45969</v>
      </c>
      <c r="B1319" t="s">
        <v>16</v>
      </c>
      <c r="C1319">
        <v>31</v>
      </c>
      <c r="D1319">
        <v>871000</v>
      </c>
      <c r="E1319" t="str">
        <f t="shared" si="40"/>
        <v>2025-11</v>
      </c>
      <c r="F1319" t="str">
        <f t="shared" si="41"/>
        <v>Sat</v>
      </c>
    </row>
    <row r="1320" spans="1:6" x14ac:dyDescent="0.3">
      <c r="A1320" s="1">
        <v>45970</v>
      </c>
      <c r="B1320" t="s">
        <v>16</v>
      </c>
      <c r="C1320">
        <v>26</v>
      </c>
      <c r="D1320">
        <v>744000</v>
      </c>
      <c r="E1320" t="str">
        <f t="shared" si="40"/>
        <v>2025-11</v>
      </c>
      <c r="F1320" t="str">
        <f t="shared" si="41"/>
        <v>Sun</v>
      </c>
    </row>
    <row r="1321" spans="1:6" x14ac:dyDescent="0.3">
      <c r="A1321" s="1">
        <v>45971</v>
      </c>
      <c r="B1321" t="s">
        <v>16</v>
      </c>
      <c r="C1321">
        <v>49</v>
      </c>
      <c r="D1321">
        <v>1228000</v>
      </c>
      <c r="E1321" t="str">
        <f t="shared" si="40"/>
        <v>2025-11</v>
      </c>
      <c r="F1321" t="str">
        <f t="shared" si="41"/>
        <v>Mon</v>
      </c>
    </row>
    <row r="1322" spans="1:6" x14ac:dyDescent="0.3">
      <c r="A1322" s="1">
        <v>45972</v>
      </c>
      <c r="B1322" t="s">
        <v>16</v>
      </c>
      <c r="C1322">
        <v>41</v>
      </c>
      <c r="D1322">
        <v>1063000</v>
      </c>
      <c r="E1322" t="str">
        <f t="shared" si="40"/>
        <v>2025-11</v>
      </c>
      <c r="F1322" t="str">
        <f t="shared" si="41"/>
        <v>Tue</v>
      </c>
    </row>
    <row r="1323" spans="1:6" x14ac:dyDescent="0.3">
      <c r="A1323" s="1">
        <v>45973</v>
      </c>
      <c r="B1323" t="s">
        <v>16</v>
      </c>
      <c r="C1323">
        <v>38</v>
      </c>
      <c r="D1323">
        <v>1217000</v>
      </c>
      <c r="E1323" t="str">
        <f t="shared" si="40"/>
        <v>2025-11</v>
      </c>
      <c r="F1323" t="str">
        <f t="shared" si="41"/>
        <v>Wed</v>
      </c>
    </row>
    <row r="1324" spans="1:6" x14ac:dyDescent="0.3">
      <c r="A1324" s="1">
        <v>45974</v>
      </c>
      <c r="B1324" t="s">
        <v>16</v>
      </c>
      <c r="C1324">
        <v>34</v>
      </c>
      <c r="D1324">
        <v>1047000</v>
      </c>
      <c r="E1324" t="str">
        <f t="shared" si="40"/>
        <v>2025-11</v>
      </c>
      <c r="F1324" t="str">
        <f t="shared" si="41"/>
        <v>Thu</v>
      </c>
    </row>
    <row r="1325" spans="1:6" x14ac:dyDescent="0.3">
      <c r="A1325" s="1">
        <v>45975</v>
      </c>
      <c r="B1325" t="s">
        <v>16</v>
      </c>
      <c r="C1325">
        <v>43</v>
      </c>
      <c r="D1325">
        <v>1319000</v>
      </c>
      <c r="E1325" t="str">
        <f t="shared" si="40"/>
        <v>2025-11</v>
      </c>
      <c r="F1325" t="str">
        <f t="shared" si="41"/>
        <v>Fri</v>
      </c>
    </row>
    <row r="1326" spans="1:6" x14ac:dyDescent="0.3">
      <c r="A1326" s="1">
        <v>45976</v>
      </c>
      <c r="B1326" t="s">
        <v>16</v>
      </c>
      <c r="C1326">
        <v>28</v>
      </c>
      <c r="D1326">
        <v>829000</v>
      </c>
      <c r="E1326" t="str">
        <f t="shared" si="40"/>
        <v>2025-11</v>
      </c>
      <c r="F1326" t="str">
        <f t="shared" si="41"/>
        <v>Sat</v>
      </c>
    </row>
    <row r="1327" spans="1:6" x14ac:dyDescent="0.3">
      <c r="A1327" s="1">
        <v>45977</v>
      </c>
      <c r="B1327" t="s">
        <v>16</v>
      </c>
      <c r="C1327">
        <v>32</v>
      </c>
      <c r="D1327">
        <v>915000</v>
      </c>
      <c r="E1327" t="str">
        <f t="shared" si="40"/>
        <v>2025-11</v>
      </c>
      <c r="F1327" t="str">
        <f t="shared" si="41"/>
        <v>Sun</v>
      </c>
    </row>
    <row r="1328" spans="1:6" x14ac:dyDescent="0.3">
      <c r="A1328" s="1">
        <v>45978</v>
      </c>
      <c r="B1328" t="s">
        <v>16</v>
      </c>
      <c r="C1328">
        <v>40</v>
      </c>
      <c r="D1328">
        <v>1078000</v>
      </c>
      <c r="E1328" t="str">
        <f t="shared" si="40"/>
        <v>2025-11</v>
      </c>
      <c r="F1328" t="str">
        <f t="shared" si="41"/>
        <v>Mon</v>
      </c>
    </row>
    <row r="1329" spans="1:6" x14ac:dyDescent="0.3">
      <c r="A1329" s="1">
        <v>45979</v>
      </c>
      <c r="B1329" t="s">
        <v>16</v>
      </c>
      <c r="C1329">
        <v>38</v>
      </c>
      <c r="D1329">
        <v>1115000</v>
      </c>
      <c r="E1329" t="str">
        <f t="shared" si="40"/>
        <v>2025-11</v>
      </c>
      <c r="F1329" t="str">
        <f t="shared" si="41"/>
        <v>Tue</v>
      </c>
    </row>
    <row r="1330" spans="1:6" x14ac:dyDescent="0.3">
      <c r="A1330" s="1">
        <v>45980</v>
      </c>
      <c r="B1330" t="s">
        <v>16</v>
      </c>
      <c r="C1330">
        <v>46</v>
      </c>
      <c r="D1330">
        <v>1253000</v>
      </c>
      <c r="E1330" t="str">
        <f t="shared" si="40"/>
        <v>2025-11</v>
      </c>
      <c r="F1330" t="str">
        <f t="shared" si="41"/>
        <v>Wed</v>
      </c>
    </row>
    <row r="1331" spans="1:6" x14ac:dyDescent="0.3">
      <c r="A1331" s="1">
        <v>45981</v>
      </c>
      <c r="B1331" t="s">
        <v>16</v>
      </c>
      <c r="C1331">
        <v>33</v>
      </c>
      <c r="D1331">
        <v>878000</v>
      </c>
      <c r="E1331" t="str">
        <f t="shared" si="40"/>
        <v>2025-11</v>
      </c>
      <c r="F1331" t="str">
        <f t="shared" si="41"/>
        <v>Thu</v>
      </c>
    </row>
    <row r="1332" spans="1:6" x14ac:dyDescent="0.3">
      <c r="A1332" s="1">
        <v>45982</v>
      </c>
      <c r="B1332" t="s">
        <v>16</v>
      </c>
      <c r="C1332">
        <v>38</v>
      </c>
      <c r="D1332">
        <v>1054000</v>
      </c>
      <c r="E1332" t="str">
        <f t="shared" si="40"/>
        <v>2025-11</v>
      </c>
      <c r="F1332" t="str">
        <f t="shared" si="41"/>
        <v>Fri</v>
      </c>
    </row>
    <row r="1333" spans="1:6" x14ac:dyDescent="0.3">
      <c r="A1333" s="1">
        <v>45983</v>
      </c>
      <c r="B1333" t="s">
        <v>16</v>
      </c>
      <c r="C1333">
        <v>32</v>
      </c>
      <c r="D1333">
        <v>888000</v>
      </c>
      <c r="E1333" t="str">
        <f t="shared" si="40"/>
        <v>2025-11</v>
      </c>
      <c r="F1333" t="str">
        <f t="shared" si="41"/>
        <v>Sat</v>
      </c>
    </row>
    <row r="1334" spans="1:6" x14ac:dyDescent="0.3">
      <c r="A1334" s="1">
        <v>45984</v>
      </c>
      <c r="B1334" t="s">
        <v>16</v>
      </c>
      <c r="C1334">
        <v>28</v>
      </c>
      <c r="D1334">
        <v>847000</v>
      </c>
      <c r="E1334" t="str">
        <f t="shared" si="40"/>
        <v>2025-11</v>
      </c>
      <c r="F1334" t="str">
        <f t="shared" si="41"/>
        <v>Sun</v>
      </c>
    </row>
    <row r="1335" spans="1:6" x14ac:dyDescent="0.3">
      <c r="A1335" s="1">
        <v>45985</v>
      </c>
      <c r="B1335" t="s">
        <v>16</v>
      </c>
      <c r="C1335">
        <v>50</v>
      </c>
      <c r="D1335">
        <v>1271000</v>
      </c>
      <c r="E1335" t="str">
        <f t="shared" si="40"/>
        <v>2025-11</v>
      </c>
      <c r="F1335" t="str">
        <f t="shared" si="41"/>
        <v>Mon</v>
      </c>
    </row>
    <row r="1336" spans="1:6" x14ac:dyDescent="0.3">
      <c r="A1336" s="1">
        <v>45986</v>
      </c>
      <c r="B1336" t="s">
        <v>16</v>
      </c>
      <c r="C1336">
        <v>33</v>
      </c>
      <c r="D1336">
        <v>1136000</v>
      </c>
      <c r="E1336" t="str">
        <f t="shared" si="40"/>
        <v>2025-11</v>
      </c>
      <c r="F1336" t="str">
        <f t="shared" si="41"/>
        <v>Tue</v>
      </c>
    </row>
    <row r="1337" spans="1:6" x14ac:dyDescent="0.3">
      <c r="A1337" s="1">
        <v>45987</v>
      </c>
      <c r="B1337" t="s">
        <v>16</v>
      </c>
      <c r="C1337">
        <v>48</v>
      </c>
      <c r="D1337">
        <v>1228000</v>
      </c>
      <c r="E1337" t="str">
        <f t="shared" si="40"/>
        <v>2025-11</v>
      </c>
      <c r="F1337" t="str">
        <f t="shared" si="41"/>
        <v>Wed</v>
      </c>
    </row>
    <row r="1338" spans="1:6" x14ac:dyDescent="0.3">
      <c r="A1338" s="1">
        <v>45988</v>
      </c>
      <c r="B1338" t="s">
        <v>16</v>
      </c>
      <c r="C1338">
        <v>41</v>
      </c>
      <c r="D1338">
        <v>1093000</v>
      </c>
      <c r="E1338" t="str">
        <f t="shared" si="40"/>
        <v>2025-11</v>
      </c>
      <c r="F1338" t="str">
        <f t="shared" si="41"/>
        <v>Thu</v>
      </c>
    </row>
    <row r="1339" spans="1:6" x14ac:dyDescent="0.3">
      <c r="A1339" s="1">
        <v>45989</v>
      </c>
      <c r="B1339" t="s">
        <v>16</v>
      </c>
      <c r="C1339">
        <v>34</v>
      </c>
      <c r="D1339">
        <v>1026000</v>
      </c>
      <c r="E1339" t="str">
        <f t="shared" si="40"/>
        <v>2025-11</v>
      </c>
      <c r="F1339" t="str">
        <f t="shared" si="41"/>
        <v>Fri</v>
      </c>
    </row>
    <row r="1340" spans="1:6" x14ac:dyDescent="0.3">
      <c r="A1340" s="1">
        <v>45990</v>
      </c>
      <c r="B1340" t="s">
        <v>16</v>
      </c>
      <c r="C1340">
        <v>27</v>
      </c>
      <c r="D1340">
        <v>691000</v>
      </c>
      <c r="E1340" t="str">
        <f t="shared" si="40"/>
        <v>2025-11</v>
      </c>
      <c r="F1340" t="str">
        <f t="shared" si="41"/>
        <v>Sat</v>
      </c>
    </row>
    <row r="1341" spans="1:6" x14ac:dyDescent="0.3">
      <c r="A1341" s="1">
        <v>45991</v>
      </c>
      <c r="B1341" t="s">
        <v>16</v>
      </c>
      <c r="C1341">
        <v>29</v>
      </c>
      <c r="D1341">
        <v>775000</v>
      </c>
      <c r="E1341" t="str">
        <f t="shared" si="40"/>
        <v>2025-11</v>
      </c>
      <c r="F1341" t="str">
        <f t="shared" si="41"/>
        <v>Sun</v>
      </c>
    </row>
    <row r="1342" spans="1:6" x14ac:dyDescent="0.3">
      <c r="A1342" s="1">
        <v>45992</v>
      </c>
      <c r="B1342" t="s">
        <v>16</v>
      </c>
      <c r="C1342">
        <v>48</v>
      </c>
      <c r="D1342">
        <v>1336000</v>
      </c>
      <c r="E1342" t="str">
        <f t="shared" si="40"/>
        <v>2025-12</v>
      </c>
      <c r="F1342" t="str">
        <f t="shared" si="41"/>
        <v>Mon</v>
      </c>
    </row>
    <row r="1343" spans="1:6" x14ac:dyDescent="0.3">
      <c r="A1343" s="1">
        <v>45993</v>
      </c>
      <c r="B1343" t="s">
        <v>16</v>
      </c>
      <c r="C1343">
        <v>65</v>
      </c>
      <c r="D1343">
        <v>1327000</v>
      </c>
      <c r="E1343" t="str">
        <f t="shared" si="40"/>
        <v>2025-12</v>
      </c>
      <c r="F1343" t="str">
        <f t="shared" si="41"/>
        <v>Tue</v>
      </c>
    </row>
    <row r="1344" spans="1:6" x14ac:dyDescent="0.3">
      <c r="A1344" s="1">
        <v>45994</v>
      </c>
      <c r="B1344" t="s">
        <v>16</v>
      </c>
      <c r="C1344">
        <v>36</v>
      </c>
      <c r="D1344">
        <v>958000</v>
      </c>
      <c r="E1344" t="str">
        <f t="shared" si="40"/>
        <v>2025-12</v>
      </c>
      <c r="F1344" t="str">
        <f t="shared" si="41"/>
        <v>Wed</v>
      </c>
    </row>
    <row r="1345" spans="1:6" x14ac:dyDescent="0.3">
      <c r="A1345" s="1">
        <v>45995</v>
      </c>
      <c r="B1345" t="s">
        <v>16</v>
      </c>
      <c r="C1345">
        <v>45</v>
      </c>
      <c r="D1345">
        <v>1155000</v>
      </c>
      <c r="E1345" t="str">
        <f t="shared" si="40"/>
        <v>2025-12</v>
      </c>
      <c r="F1345" t="str">
        <f t="shared" si="41"/>
        <v>Thu</v>
      </c>
    </row>
    <row r="1346" spans="1:6" x14ac:dyDescent="0.3">
      <c r="A1346" s="1">
        <v>45996</v>
      </c>
      <c r="B1346" t="s">
        <v>16</v>
      </c>
      <c r="C1346">
        <v>49</v>
      </c>
      <c r="D1346">
        <v>1341000</v>
      </c>
      <c r="E1346" t="str">
        <f t="shared" ref="E1346:E1372" si="42">TEXT(A1346,"yyyy-mm")</f>
        <v>2025-12</v>
      </c>
      <c r="F1346" t="str">
        <f t="shared" ref="F1346:F1372" si="43">TEXT(A1346,"ddd")</f>
        <v>Fri</v>
      </c>
    </row>
    <row r="1347" spans="1:6" x14ac:dyDescent="0.3">
      <c r="A1347" s="1">
        <v>45997</v>
      </c>
      <c r="B1347" t="s">
        <v>16</v>
      </c>
      <c r="C1347">
        <v>34</v>
      </c>
      <c r="D1347">
        <v>1007000</v>
      </c>
      <c r="E1347" t="str">
        <f t="shared" si="42"/>
        <v>2025-12</v>
      </c>
      <c r="F1347" t="str">
        <f t="shared" si="43"/>
        <v>Sat</v>
      </c>
    </row>
    <row r="1348" spans="1:6" x14ac:dyDescent="0.3">
      <c r="A1348" s="1">
        <v>45998</v>
      </c>
      <c r="B1348" t="s">
        <v>16</v>
      </c>
      <c r="C1348">
        <v>31</v>
      </c>
      <c r="D1348">
        <v>931000</v>
      </c>
      <c r="E1348" t="str">
        <f t="shared" si="42"/>
        <v>2025-12</v>
      </c>
      <c r="F1348" t="str">
        <f t="shared" si="43"/>
        <v>Sun</v>
      </c>
    </row>
    <row r="1349" spans="1:6" x14ac:dyDescent="0.3">
      <c r="A1349" s="1">
        <v>45999</v>
      </c>
      <c r="B1349" t="s">
        <v>16</v>
      </c>
      <c r="C1349">
        <v>41</v>
      </c>
      <c r="D1349">
        <v>1299000</v>
      </c>
      <c r="E1349" t="str">
        <f t="shared" si="42"/>
        <v>2025-12</v>
      </c>
      <c r="F1349" t="str">
        <f t="shared" si="43"/>
        <v>Mon</v>
      </c>
    </row>
    <row r="1350" spans="1:6" x14ac:dyDescent="0.3">
      <c r="A1350" s="1">
        <v>46000</v>
      </c>
      <c r="B1350" t="s">
        <v>16</v>
      </c>
      <c r="C1350">
        <v>35</v>
      </c>
      <c r="D1350">
        <v>1118000</v>
      </c>
      <c r="E1350" t="str">
        <f t="shared" si="42"/>
        <v>2025-12</v>
      </c>
      <c r="F1350" t="str">
        <f t="shared" si="43"/>
        <v>Tue</v>
      </c>
    </row>
    <row r="1351" spans="1:6" x14ac:dyDescent="0.3">
      <c r="A1351" s="1">
        <v>46001</v>
      </c>
      <c r="B1351" t="s">
        <v>16</v>
      </c>
      <c r="C1351">
        <v>55</v>
      </c>
      <c r="D1351">
        <v>1668000</v>
      </c>
      <c r="E1351" t="str">
        <f t="shared" si="42"/>
        <v>2025-12</v>
      </c>
      <c r="F1351" t="str">
        <f t="shared" si="43"/>
        <v>Wed</v>
      </c>
    </row>
    <row r="1352" spans="1:6" x14ac:dyDescent="0.3">
      <c r="A1352" s="1">
        <v>46002</v>
      </c>
      <c r="B1352" t="s">
        <v>16</v>
      </c>
      <c r="C1352">
        <v>46</v>
      </c>
      <c r="D1352">
        <v>1272000</v>
      </c>
      <c r="E1352" t="str">
        <f t="shared" si="42"/>
        <v>2025-12</v>
      </c>
      <c r="F1352" t="str">
        <f t="shared" si="43"/>
        <v>Thu</v>
      </c>
    </row>
    <row r="1353" spans="1:6" x14ac:dyDescent="0.3">
      <c r="A1353" s="1">
        <v>46003</v>
      </c>
      <c r="B1353" t="s">
        <v>16</v>
      </c>
      <c r="C1353">
        <v>53</v>
      </c>
      <c r="D1353">
        <v>1627000</v>
      </c>
      <c r="E1353" t="str">
        <f t="shared" si="42"/>
        <v>2025-12</v>
      </c>
      <c r="F1353" t="str">
        <f t="shared" si="43"/>
        <v>Fri</v>
      </c>
    </row>
    <row r="1354" spans="1:6" x14ac:dyDescent="0.3">
      <c r="A1354" s="1">
        <v>46004</v>
      </c>
      <c r="B1354" t="s">
        <v>16</v>
      </c>
      <c r="C1354">
        <v>44</v>
      </c>
      <c r="D1354">
        <v>1123000</v>
      </c>
      <c r="E1354" t="str">
        <f t="shared" si="42"/>
        <v>2025-12</v>
      </c>
      <c r="F1354" t="str">
        <f t="shared" si="43"/>
        <v>Sat</v>
      </c>
    </row>
    <row r="1355" spans="1:6" x14ac:dyDescent="0.3">
      <c r="A1355" s="1">
        <v>46005</v>
      </c>
      <c r="B1355" t="s">
        <v>16</v>
      </c>
      <c r="C1355">
        <v>36</v>
      </c>
      <c r="D1355">
        <v>1009000</v>
      </c>
      <c r="E1355" t="str">
        <f t="shared" si="42"/>
        <v>2025-12</v>
      </c>
      <c r="F1355" t="str">
        <f t="shared" si="43"/>
        <v>Sun</v>
      </c>
    </row>
    <row r="1356" spans="1:6" x14ac:dyDescent="0.3">
      <c r="A1356" s="1">
        <v>46006</v>
      </c>
      <c r="B1356" t="s">
        <v>16</v>
      </c>
      <c r="C1356">
        <v>42</v>
      </c>
      <c r="D1356">
        <v>1342000</v>
      </c>
      <c r="E1356" t="str">
        <f t="shared" si="42"/>
        <v>2025-12</v>
      </c>
      <c r="F1356" t="str">
        <f t="shared" si="43"/>
        <v>Mon</v>
      </c>
    </row>
    <row r="1357" spans="1:6" x14ac:dyDescent="0.3">
      <c r="A1357" s="1">
        <v>46007</v>
      </c>
      <c r="B1357" t="s">
        <v>16</v>
      </c>
      <c r="C1357">
        <v>48</v>
      </c>
      <c r="D1357">
        <v>1432000</v>
      </c>
      <c r="E1357" t="str">
        <f t="shared" si="42"/>
        <v>2025-12</v>
      </c>
      <c r="F1357" t="str">
        <f t="shared" si="43"/>
        <v>Tue</v>
      </c>
    </row>
    <row r="1358" spans="1:6" x14ac:dyDescent="0.3">
      <c r="A1358" s="1">
        <v>46008</v>
      </c>
      <c r="B1358" t="s">
        <v>16</v>
      </c>
      <c r="C1358">
        <v>52</v>
      </c>
      <c r="D1358">
        <v>1269000</v>
      </c>
      <c r="E1358" t="str">
        <f t="shared" si="42"/>
        <v>2025-12</v>
      </c>
      <c r="F1358" t="str">
        <f t="shared" si="43"/>
        <v>Wed</v>
      </c>
    </row>
    <row r="1359" spans="1:6" x14ac:dyDescent="0.3">
      <c r="A1359" s="1">
        <v>46009</v>
      </c>
      <c r="B1359" t="s">
        <v>16</v>
      </c>
      <c r="C1359">
        <v>55</v>
      </c>
      <c r="D1359">
        <v>1450000</v>
      </c>
      <c r="E1359" t="str">
        <f t="shared" si="42"/>
        <v>2025-12</v>
      </c>
      <c r="F1359" t="str">
        <f t="shared" si="43"/>
        <v>Thu</v>
      </c>
    </row>
    <row r="1360" spans="1:6" x14ac:dyDescent="0.3">
      <c r="A1360" s="1">
        <v>46010</v>
      </c>
      <c r="B1360" t="s">
        <v>16</v>
      </c>
      <c r="C1360">
        <v>47</v>
      </c>
      <c r="D1360">
        <v>1418000</v>
      </c>
      <c r="E1360" t="str">
        <f t="shared" si="42"/>
        <v>2025-12</v>
      </c>
      <c r="F1360" t="str">
        <f t="shared" si="43"/>
        <v>Fri</v>
      </c>
    </row>
    <row r="1361" spans="1:6" x14ac:dyDescent="0.3">
      <c r="A1361" s="1">
        <v>46011</v>
      </c>
      <c r="B1361" t="s">
        <v>16</v>
      </c>
      <c r="C1361">
        <v>35</v>
      </c>
      <c r="D1361">
        <v>1035000</v>
      </c>
      <c r="E1361" t="str">
        <f t="shared" si="42"/>
        <v>2025-12</v>
      </c>
      <c r="F1361" t="str">
        <f t="shared" si="43"/>
        <v>Sat</v>
      </c>
    </row>
    <row r="1362" spans="1:6" x14ac:dyDescent="0.3">
      <c r="A1362" s="1">
        <v>46012</v>
      </c>
      <c r="B1362" t="s">
        <v>16</v>
      </c>
      <c r="C1362">
        <v>35</v>
      </c>
      <c r="D1362">
        <v>1072000</v>
      </c>
      <c r="E1362" t="str">
        <f t="shared" si="42"/>
        <v>2025-12</v>
      </c>
      <c r="F1362" t="str">
        <f t="shared" si="43"/>
        <v>Sun</v>
      </c>
    </row>
    <row r="1363" spans="1:6" x14ac:dyDescent="0.3">
      <c r="A1363" s="1">
        <v>46013</v>
      </c>
      <c r="B1363" t="s">
        <v>16</v>
      </c>
      <c r="C1363">
        <v>70</v>
      </c>
      <c r="D1363">
        <v>1640000</v>
      </c>
      <c r="E1363" t="str">
        <f t="shared" si="42"/>
        <v>2025-12</v>
      </c>
      <c r="F1363" t="str">
        <f t="shared" si="43"/>
        <v>Mon</v>
      </c>
    </row>
    <row r="1364" spans="1:6" x14ac:dyDescent="0.3">
      <c r="A1364" s="1">
        <v>46014</v>
      </c>
      <c r="B1364" t="s">
        <v>16</v>
      </c>
      <c r="C1364">
        <v>55</v>
      </c>
      <c r="D1364">
        <v>1370000</v>
      </c>
      <c r="E1364" t="str">
        <f t="shared" si="42"/>
        <v>2025-12</v>
      </c>
      <c r="F1364" t="str">
        <f t="shared" si="43"/>
        <v>Tue</v>
      </c>
    </row>
    <row r="1365" spans="1:6" x14ac:dyDescent="0.3">
      <c r="A1365" s="1">
        <v>46015</v>
      </c>
      <c r="B1365" t="s">
        <v>16</v>
      </c>
      <c r="C1365">
        <v>57</v>
      </c>
      <c r="D1365">
        <v>1554000</v>
      </c>
      <c r="E1365" t="str">
        <f t="shared" si="42"/>
        <v>2025-12</v>
      </c>
      <c r="F1365" t="str">
        <f t="shared" si="43"/>
        <v>Wed</v>
      </c>
    </row>
    <row r="1366" spans="1:6" x14ac:dyDescent="0.3">
      <c r="A1366" s="1">
        <v>46016</v>
      </c>
      <c r="B1366" t="s">
        <v>16</v>
      </c>
      <c r="C1366">
        <v>52</v>
      </c>
      <c r="D1366">
        <v>1320000</v>
      </c>
      <c r="E1366" t="str">
        <f t="shared" si="42"/>
        <v>2025-12</v>
      </c>
      <c r="F1366" t="str">
        <f t="shared" si="43"/>
        <v>Thu</v>
      </c>
    </row>
    <row r="1367" spans="1:6" x14ac:dyDescent="0.3">
      <c r="A1367" s="1">
        <v>46017</v>
      </c>
      <c r="B1367" t="s">
        <v>16</v>
      </c>
      <c r="C1367">
        <v>47</v>
      </c>
      <c r="D1367">
        <v>1307000</v>
      </c>
      <c r="E1367" t="str">
        <f t="shared" si="42"/>
        <v>2025-12</v>
      </c>
      <c r="F1367" t="str">
        <f t="shared" si="43"/>
        <v>Fri</v>
      </c>
    </row>
    <row r="1368" spans="1:6" x14ac:dyDescent="0.3">
      <c r="A1368" s="1">
        <v>46018</v>
      </c>
      <c r="B1368" t="s">
        <v>16</v>
      </c>
      <c r="C1368">
        <v>33</v>
      </c>
      <c r="D1368">
        <v>935000</v>
      </c>
      <c r="E1368" t="str">
        <f t="shared" si="42"/>
        <v>2025-12</v>
      </c>
      <c r="F1368" t="str">
        <f t="shared" si="43"/>
        <v>Sat</v>
      </c>
    </row>
    <row r="1369" spans="1:6" x14ac:dyDescent="0.3">
      <c r="A1369" s="1">
        <v>46019</v>
      </c>
      <c r="B1369" t="s">
        <v>16</v>
      </c>
      <c r="C1369">
        <v>31</v>
      </c>
      <c r="D1369">
        <v>903000</v>
      </c>
      <c r="E1369" t="str">
        <f t="shared" si="42"/>
        <v>2025-12</v>
      </c>
      <c r="F1369" t="str">
        <f t="shared" si="43"/>
        <v>Sun</v>
      </c>
    </row>
    <row r="1370" spans="1:6" x14ac:dyDescent="0.3">
      <c r="A1370" s="1">
        <v>46020</v>
      </c>
      <c r="B1370" t="s">
        <v>16</v>
      </c>
      <c r="C1370">
        <v>56</v>
      </c>
      <c r="D1370">
        <v>1549000</v>
      </c>
      <c r="E1370" t="str">
        <f t="shared" si="42"/>
        <v>2025-12</v>
      </c>
      <c r="F1370" t="str">
        <f t="shared" si="43"/>
        <v>Mon</v>
      </c>
    </row>
    <row r="1371" spans="1:6" x14ac:dyDescent="0.3">
      <c r="A1371" s="1">
        <v>46021</v>
      </c>
      <c r="B1371" t="s">
        <v>16</v>
      </c>
      <c r="C1371">
        <v>52</v>
      </c>
      <c r="D1371">
        <v>1542000</v>
      </c>
      <c r="E1371" t="str">
        <f t="shared" si="42"/>
        <v>2025-12</v>
      </c>
      <c r="F1371" t="str">
        <f t="shared" si="43"/>
        <v>Tue</v>
      </c>
    </row>
    <row r="1372" spans="1:6" x14ac:dyDescent="0.3">
      <c r="A1372" s="1">
        <v>46022</v>
      </c>
      <c r="B1372" t="s">
        <v>16</v>
      </c>
      <c r="C1372">
        <v>53</v>
      </c>
      <c r="D1372">
        <v>1588000</v>
      </c>
      <c r="E1372" t="str">
        <f t="shared" si="42"/>
        <v>2025-12</v>
      </c>
      <c r="F1372" t="str">
        <f t="shared" si="43"/>
        <v>Wed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6D31-1EC5-4796-8654-6CD1B415AC32}">
  <dimension ref="A1:M318"/>
  <sheetViews>
    <sheetView workbookViewId="0">
      <selection activeCell="F18" sqref="F18"/>
    </sheetView>
  </sheetViews>
  <sheetFormatPr defaultRowHeight="14.4" x14ac:dyDescent="0.3"/>
  <cols>
    <col min="1" max="4" width="16.33203125" customWidth="1"/>
    <col min="7" max="7" width="13.5546875" bestFit="1" customWidth="1"/>
    <col min="8" max="8" width="15.5546875" bestFit="1" customWidth="1"/>
    <col min="9" max="9" width="14.109375" bestFit="1" customWidth="1"/>
    <col min="10" max="10" width="10.77734375" bestFit="1" customWidth="1"/>
    <col min="12" max="12" width="13.6640625" bestFit="1" customWidth="1"/>
    <col min="13" max="13" width="13.5546875" bestFit="1" customWidth="1"/>
    <col min="14" max="16" width="8" bestFit="1" customWidth="1"/>
    <col min="17" max="36" width="9" bestFit="1" customWidth="1"/>
    <col min="37" max="37" width="10.77734375" bestFit="1" customWidth="1"/>
    <col min="38" max="45" width="8" bestFit="1" customWidth="1"/>
    <col min="46" max="46" width="9" bestFit="1" customWidth="1"/>
    <col min="47" max="50" width="8" bestFit="1" customWidth="1"/>
    <col min="51" max="51" width="9" bestFit="1" customWidth="1"/>
    <col min="52" max="52" width="8" bestFit="1" customWidth="1"/>
    <col min="53" max="53" width="9" bestFit="1" customWidth="1"/>
    <col min="54" max="57" width="8" bestFit="1" customWidth="1"/>
    <col min="58" max="58" width="9" bestFit="1" customWidth="1"/>
    <col min="59" max="59" width="18.88671875" bestFit="1" customWidth="1"/>
    <col min="60" max="60" width="10.77734375" bestFit="1" customWidth="1"/>
  </cols>
  <sheetData>
    <row r="1" spans="1:13" x14ac:dyDescent="0.3">
      <c r="A1" t="s">
        <v>138</v>
      </c>
      <c r="B1" t="s">
        <v>14</v>
      </c>
      <c r="C1" t="s">
        <v>140</v>
      </c>
      <c r="D1" t="s">
        <v>141</v>
      </c>
      <c r="G1" s="2" t="s">
        <v>45</v>
      </c>
      <c r="H1" t="s">
        <v>47</v>
      </c>
      <c r="L1" s="2" t="s">
        <v>45</v>
      </c>
      <c r="M1" t="s">
        <v>46</v>
      </c>
    </row>
    <row r="2" spans="1:13" x14ac:dyDescent="0.3">
      <c r="A2" t="s">
        <v>18</v>
      </c>
      <c r="B2" t="s">
        <v>16</v>
      </c>
      <c r="C2" t="s">
        <v>142</v>
      </c>
      <c r="D2">
        <v>7178000</v>
      </c>
    </row>
    <row r="3" spans="1:13" x14ac:dyDescent="0.3">
      <c r="A3" t="s">
        <v>18</v>
      </c>
      <c r="B3" t="s">
        <v>16</v>
      </c>
      <c r="C3" t="s">
        <v>143</v>
      </c>
      <c r="D3">
        <v>6000000</v>
      </c>
      <c r="G3" s="2" t="s">
        <v>50</v>
      </c>
      <c r="H3" s="2" t="s">
        <v>43</v>
      </c>
      <c r="L3" s="2" t="s">
        <v>17</v>
      </c>
      <c r="M3" t="s">
        <v>50</v>
      </c>
    </row>
    <row r="4" spans="1:13" x14ac:dyDescent="0.3">
      <c r="A4" t="s">
        <v>18</v>
      </c>
      <c r="B4" t="s">
        <v>16</v>
      </c>
      <c r="C4" t="s">
        <v>144</v>
      </c>
      <c r="D4">
        <v>4000000</v>
      </c>
      <c r="G4" s="2" t="s">
        <v>17</v>
      </c>
      <c r="H4" t="s">
        <v>15</v>
      </c>
      <c r="I4" t="s">
        <v>16</v>
      </c>
      <c r="J4" t="s">
        <v>42</v>
      </c>
      <c r="L4" s="3" t="s">
        <v>15</v>
      </c>
      <c r="M4">
        <v>123419000</v>
      </c>
    </row>
    <row r="5" spans="1:13" x14ac:dyDescent="0.3">
      <c r="A5" t="s">
        <v>18</v>
      </c>
      <c r="B5" t="s">
        <v>16</v>
      </c>
      <c r="C5" t="s">
        <v>145</v>
      </c>
      <c r="D5">
        <v>742000</v>
      </c>
      <c r="G5" s="3" t="s">
        <v>18</v>
      </c>
      <c r="I5">
        <v>4000000</v>
      </c>
      <c r="J5">
        <v>4000000</v>
      </c>
      <c r="L5" s="3" t="s">
        <v>16</v>
      </c>
      <c r="M5">
        <v>214960000</v>
      </c>
    </row>
    <row r="6" spans="1:13" x14ac:dyDescent="0.3">
      <c r="A6" t="s">
        <v>18</v>
      </c>
      <c r="B6" t="s">
        <v>16</v>
      </c>
      <c r="C6" t="s">
        <v>48</v>
      </c>
      <c r="D6">
        <v>400000</v>
      </c>
      <c r="G6" s="3" t="s">
        <v>19</v>
      </c>
      <c r="I6">
        <v>4000000</v>
      </c>
      <c r="J6">
        <v>4000000</v>
      </c>
      <c r="L6" s="3" t="s">
        <v>42</v>
      </c>
      <c r="M6">
        <v>338379000</v>
      </c>
    </row>
    <row r="7" spans="1:13" x14ac:dyDescent="0.3">
      <c r="A7" t="s">
        <v>18</v>
      </c>
      <c r="B7" t="s">
        <v>16</v>
      </c>
      <c r="C7" t="s">
        <v>49</v>
      </c>
      <c r="D7">
        <v>0</v>
      </c>
      <c r="G7" s="3" t="s">
        <v>20</v>
      </c>
      <c r="I7">
        <v>4000000</v>
      </c>
      <c r="J7">
        <v>4000000</v>
      </c>
    </row>
    <row r="8" spans="1:13" x14ac:dyDescent="0.3">
      <c r="A8" t="s">
        <v>18</v>
      </c>
      <c r="B8" t="s">
        <v>16</v>
      </c>
      <c r="C8" t="s">
        <v>146</v>
      </c>
      <c r="D8">
        <v>354000</v>
      </c>
      <c r="G8" s="3" t="s">
        <v>21</v>
      </c>
      <c r="H8">
        <v>3000000</v>
      </c>
      <c r="I8">
        <v>4000000</v>
      </c>
      <c r="J8">
        <v>7000000</v>
      </c>
    </row>
    <row r="9" spans="1:13" x14ac:dyDescent="0.3">
      <c r="A9" t="s">
        <v>19</v>
      </c>
      <c r="B9" t="s">
        <v>16</v>
      </c>
      <c r="C9" t="s">
        <v>142</v>
      </c>
      <c r="D9">
        <v>7251000</v>
      </c>
      <c r="G9" s="3" t="s">
        <v>22</v>
      </c>
      <c r="H9">
        <v>3000000</v>
      </c>
      <c r="I9">
        <v>4000000</v>
      </c>
      <c r="J9">
        <v>7000000</v>
      </c>
    </row>
    <row r="10" spans="1:13" x14ac:dyDescent="0.3">
      <c r="A10" t="s">
        <v>19</v>
      </c>
      <c r="B10" t="s">
        <v>16</v>
      </c>
      <c r="C10" t="s">
        <v>143</v>
      </c>
      <c r="D10">
        <v>6000000</v>
      </c>
      <c r="G10" s="3" t="s">
        <v>23</v>
      </c>
      <c r="H10">
        <v>3000000</v>
      </c>
      <c r="I10">
        <v>4000000</v>
      </c>
      <c r="J10">
        <v>7000000</v>
      </c>
    </row>
    <row r="11" spans="1:13" x14ac:dyDescent="0.3">
      <c r="A11" t="s">
        <v>19</v>
      </c>
      <c r="B11" t="s">
        <v>16</v>
      </c>
      <c r="C11" t="s">
        <v>144</v>
      </c>
      <c r="D11">
        <v>4000000</v>
      </c>
      <c r="G11" s="3" t="s">
        <v>24</v>
      </c>
      <c r="H11">
        <v>3000000</v>
      </c>
      <c r="I11">
        <v>4000000</v>
      </c>
      <c r="J11">
        <v>7000000</v>
      </c>
    </row>
    <row r="12" spans="1:13" x14ac:dyDescent="0.3">
      <c r="A12" t="s">
        <v>19</v>
      </c>
      <c r="B12" t="s">
        <v>16</v>
      </c>
      <c r="C12" t="s">
        <v>145</v>
      </c>
      <c r="D12">
        <v>867000</v>
      </c>
      <c r="G12" s="3" t="s">
        <v>25</v>
      </c>
      <c r="H12">
        <v>3000000</v>
      </c>
      <c r="I12">
        <v>4000000</v>
      </c>
      <c r="J12">
        <v>7000000</v>
      </c>
    </row>
    <row r="13" spans="1:13" x14ac:dyDescent="0.3">
      <c r="A13" t="s">
        <v>19</v>
      </c>
      <c r="B13" t="s">
        <v>16</v>
      </c>
      <c r="C13" t="s">
        <v>48</v>
      </c>
      <c r="D13">
        <v>700000</v>
      </c>
      <c r="G13" s="3" t="s">
        <v>26</v>
      </c>
      <c r="H13">
        <v>3000000</v>
      </c>
      <c r="I13">
        <v>4000000</v>
      </c>
      <c r="J13">
        <v>7000000</v>
      </c>
    </row>
    <row r="14" spans="1:13" x14ac:dyDescent="0.3">
      <c r="A14" t="s">
        <v>19</v>
      </c>
      <c r="B14" t="s">
        <v>16</v>
      </c>
      <c r="C14" t="s">
        <v>49</v>
      </c>
      <c r="D14">
        <v>0</v>
      </c>
      <c r="G14" s="3" t="s">
        <v>27</v>
      </c>
      <c r="H14">
        <v>3000000</v>
      </c>
      <c r="I14">
        <v>4000000</v>
      </c>
      <c r="J14">
        <v>7000000</v>
      </c>
    </row>
    <row r="15" spans="1:13" x14ac:dyDescent="0.3">
      <c r="A15" t="s">
        <v>19</v>
      </c>
      <c r="B15" t="s">
        <v>16</v>
      </c>
      <c r="C15" t="s">
        <v>146</v>
      </c>
      <c r="D15">
        <v>328000</v>
      </c>
      <c r="G15" s="3" t="s">
        <v>28</v>
      </c>
      <c r="H15">
        <v>3000000</v>
      </c>
      <c r="I15">
        <v>4000000</v>
      </c>
      <c r="J15">
        <v>7000000</v>
      </c>
    </row>
    <row r="16" spans="1:13" x14ac:dyDescent="0.3">
      <c r="A16" t="s">
        <v>20</v>
      </c>
      <c r="B16" t="s">
        <v>16</v>
      </c>
      <c r="C16" t="s">
        <v>142</v>
      </c>
      <c r="D16">
        <v>7565000</v>
      </c>
      <c r="G16" s="3" t="s">
        <v>29</v>
      </c>
      <c r="H16">
        <v>3000000</v>
      </c>
      <c r="I16">
        <v>4000000</v>
      </c>
      <c r="J16">
        <v>7000000</v>
      </c>
    </row>
    <row r="17" spans="1:10" x14ac:dyDescent="0.3">
      <c r="A17" t="s">
        <v>20</v>
      </c>
      <c r="B17" t="s">
        <v>16</v>
      </c>
      <c r="C17" t="s">
        <v>143</v>
      </c>
      <c r="D17">
        <v>6000000</v>
      </c>
      <c r="G17" s="3" t="s">
        <v>30</v>
      </c>
      <c r="H17">
        <v>3000000</v>
      </c>
      <c r="I17">
        <v>4000000</v>
      </c>
      <c r="J17">
        <v>7000000</v>
      </c>
    </row>
    <row r="18" spans="1:10" x14ac:dyDescent="0.3">
      <c r="A18" t="s">
        <v>20</v>
      </c>
      <c r="B18" t="s">
        <v>16</v>
      </c>
      <c r="C18" t="s">
        <v>144</v>
      </c>
      <c r="D18">
        <v>4000000</v>
      </c>
      <c r="G18" s="3" t="s">
        <v>31</v>
      </c>
      <c r="H18">
        <v>3000000</v>
      </c>
      <c r="I18">
        <v>4000000</v>
      </c>
      <c r="J18">
        <v>7000000</v>
      </c>
    </row>
    <row r="19" spans="1:10" x14ac:dyDescent="0.3">
      <c r="A19" t="s">
        <v>20</v>
      </c>
      <c r="B19" t="s">
        <v>16</v>
      </c>
      <c r="C19" t="s">
        <v>145</v>
      </c>
      <c r="D19">
        <v>740000</v>
      </c>
      <c r="G19" s="3" t="s">
        <v>32</v>
      </c>
      <c r="H19">
        <v>3000000</v>
      </c>
      <c r="I19">
        <v>4000000</v>
      </c>
      <c r="J19">
        <v>7000000</v>
      </c>
    </row>
    <row r="20" spans="1:10" x14ac:dyDescent="0.3">
      <c r="A20" t="s">
        <v>20</v>
      </c>
      <c r="B20" t="s">
        <v>16</v>
      </c>
      <c r="C20" t="s">
        <v>48</v>
      </c>
      <c r="D20">
        <v>0</v>
      </c>
      <c r="G20" s="3" t="s">
        <v>33</v>
      </c>
      <c r="H20">
        <v>3000000</v>
      </c>
      <c r="I20">
        <v>4000000</v>
      </c>
      <c r="J20">
        <v>7000000</v>
      </c>
    </row>
    <row r="21" spans="1:10" x14ac:dyDescent="0.3">
      <c r="A21" t="s">
        <v>20</v>
      </c>
      <c r="B21" t="s">
        <v>16</v>
      </c>
      <c r="C21" t="s">
        <v>49</v>
      </c>
      <c r="D21">
        <v>0</v>
      </c>
      <c r="G21" s="3" t="s">
        <v>34</v>
      </c>
      <c r="H21">
        <v>3000000</v>
      </c>
      <c r="I21">
        <v>4000000</v>
      </c>
      <c r="J21">
        <v>7000000</v>
      </c>
    </row>
    <row r="22" spans="1:10" x14ac:dyDescent="0.3">
      <c r="A22" t="s">
        <v>20</v>
      </c>
      <c r="B22" t="s">
        <v>16</v>
      </c>
      <c r="C22" t="s">
        <v>146</v>
      </c>
      <c r="D22">
        <v>426000</v>
      </c>
      <c r="G22" s="3" t="s">
        <v>35</v>
      </c>
      <c r="H22">
        <v>3000000</v>
      </c>
      <c r="I22">
        <v>4000000</v>
      </c>
      <c r="J22">
        <v>7000000</v>
      </c>
    </row>
    <row r="23" spans="1:10" x14ac:dyDescent="0.3">
      <c r="A23" t="s">
        <v>21</v>
      </c>
      <c r="B23" t="s">
        <v>16</v>
      </c>
      <c r="C23" t="s">
        <v>142</v>
      </c>
      <c r="D23">
        <v>6714000</v>
      </c>
      <c r="G23" s="3" t="s">
        <v>36</v>
      </c>
      <c r="H23">
        <v>3000000</v>
      </c>
      <c r="I23">
        <v>4000000</v>
      </c>
      <c r="J23">
        <v>7000000</v>
      </c>
    </row>
    <row r="24" spans="1:10" x14ac:dyDescent="0.3">
      <c r="A24" t="s">
        <v>21</v>
      </c>
      <c r="B24" t="s">
        <v>16</v>
      </c>
      <c r="C24" t="s">
        <v>143</v>
      </c>
      <c r="D24">
        <v>6000000</v>
      </c>
      <c r="G24" s="3" t="s">
        <v>37</v>
      </c>
      <c r="H24">
        <v>3000000</v>
      </c>
      <c r="I24">
        <v>4000000</v>
      </c>
      <c r="J24">
        <v>7000000</v>
      </c>
    </row>
    <row r="25" spans="1:10" x14ac:dyDescent="0.3">
      <c r="A25" t="s">
        <v>21</v>
      </c>
      <c r="B25" t="s">
        <v>16</v>
      </c>
      <c r="C25" t="s">
        <v>144</v>
      </c>
      <c r="D25">
        <v>4000000</v>
      </c>
      <c r="G25" s="3" t="s">
        <v>38</v>
      </c>
      <c r="H25">
        <v>3000000</v>
      </c>
      <c r="I25">
        <v>4000000</v>
      </c>
      <c r="J25">
        <v>7000000</v>
      </c>
    </row>
    <row r="26" spans="1:10" x14ac:dyDescent="0.3">
      <c r="A26" t="s">
        <v>21</v>
      </c>
      <c r="B26" t="s">
        <v>16</v>
      </c>
      <c r="C26" t="s">
        <v>145</v>
      </c>
      <c r="D26">
        <v>709000</v>
      </c>
      <c r="G26" s="3" t="s">
        <v>39</v>
      </c>
      <c r="H26">
        <v>3000000</v>
      </c>
      <c r="I26">
        <v>4000000</v>
      </c>
      <c r="J26">
        <v>7000000</v>
      </c>
    </row>
    <row r="27" spans="1:10" x14ac:dyDescent="0.3">
      <c r="A27" t="s">
        <v>21</v>
      </c>
      <c r="B27" t="s">
        <v>16</v>
      </c>
      <c r="C27" t="s">
        <v>48</v>
      </c>
      <c r="D27">
        <v>0</v>
      </c>
      <c r="G27" s="3" t="s">
        <v>40</v>
      </c>
      <c r="H27">
        <v>3000000</v>
      </c>
      <c r="I27">
        <v>4000000</v>
      </c>
      <c r="J27">
        <v>7000000</v>
      </c>
    </row>
    <row r="28" spans="1:10" x14ac:dyDescent="0.3">
      <c r="A28" t="s">
        <v>21</v>
      </c>
      <c r="B28" t="s">
        <v>16</v>
      </c>
      <c r="C28" t="s">
        <v>49</v>
      </c>
      <c r="D28">
        <v>0</v>
      </c>
      <c r="G28" s="3" t="s">
        <v>41</v>
      </c>
      <c r="H28">
        <v>3000000</v>
      </c>
      <c r="I28">
        <v>4000000</v>
      </c>
      <c r="J28">
        <v>7000000</v>
      </c>
    </row>
    <row r="29" spans="1:10" x14ac:dyDescent="0.3">
      <c r="A29" t="s">
        <v>21</v>
      </c>
      <c r="B29" t="s">
        <v>16</v>
      </c>
      <c r="C29" t="s">
        <v>146</v>
      </c>
      <c r="D29">
        <v>424000</v>
      </c>
      <c r="G29" s="3" t="s">
        <v>42</v>
      </c>
      <c r="H29">
        <v>63000000</v>
      </c>
      <c r="I29">
        <v>96000000</v>
      </c>
      <c r="J29">
        <v>159000000</v>
      </c>
    </row>
    <row r="30" spans="1:10" x14ac:dyDescent="0.3">
      <c r="A30" t="s">
        <v>22</v>
      </c>
      <c r="B30" t="s">
        <v>16</v>
      </c>
      <c r="C30" t="s">
        <v>142</v>
      </c>
      <c r="D30">
        <v>7997000</v>
      </c>
    </row>
    <row r="31" spans="1:10" x14ac:dyDescent="0.3">
      <c r="A31" t="s">
        <v>22</v>
      </c>
      <c r="B31" t="s">
        <v>16</v>
      </c>
      <c r="C31" t="s">
        <v>143</v>
      </c>
      <c r="D31">
        <v>6000000</v>
      </c>
    </row>
    <row r="32" spans="1:10" x14ac:dyDescent="0.3">
      <c r="A32" t="s">
        <v>22</v>
      </c>
      <c r="B32" t="s">
        <v>16</v>
      </c>
      <c r="C32" t="s">
        <v>144</v>
      </c>
      <c r="D32">
        <v>4000000</v>
      </c>
    </row>
    <row r="33" spans="1:4" x14ac:dyDescent="0.3">
      <c r="A33" t="s">
        <v>22</v>
      </c>
      <c r="B33" t="s">
        <v>16</v>
      </c>
      <c r="C33" t="s">
        <v>145</v>
      </c>
      <c r="D33">
        <v>834000</v>
      </c>
    </row>
    <row r="34" spans="1:4" x14ac:dyDescent="0.3">
      <c r="A34" t="s">
        <v>22</v>
      </c>
      <c r="B34" t="s">
        <v>16</v>
      </c>
      <c r="C34" t="s">
        <v>48</v>
      </c>
      <c r="D34">
        <v>400000</v>
      </c>
    </row>
    <row r="35" spans="1:4" x14ac:dyDescent="0.3">
      <c r="A35" t="s">
        <v>22</v>
      </c>
      <c r="B35" t="s">
        <v>16</v>
      </c>
      <c r="C35" t="s">
        <v>49</v>
      </c>
      <c r="D35">
        <v>300000</v>
      </c>
    </row>
    <row r="36" spans="1:4" x14ac:dyDescent="0.3">
      <c r="A36" t="s">
        <v>22</v>
      </c>
      <c r="B36" t="s">
        <v>16</v>
      </c>
      <c r="C36" t="s">
        <v>146</v>
      </c>
      <c r="D36">
        <v>292000</v>
      </c>
    </row>
    <row r="37" spans="1:4" x14ac:dyDescent="0.3">
      <c r="A37" t="s">
        <v>23</v>
      </c>
      <c r="B37" t="s">
        <v>16</v>
      </c>
      <c r="C37" t="s">
        <v>142</v>
      </c>
      <c r="D37">
        <v>8242000</v>
      </c>
    </row>
    <row r="38" spans="1:4" x14ac:dyDescent="0.3">
      <c r="A38" t="s">
        <v>23</v>
      </c>
      <c r="B38" t="s">
        <v>16</v>
      </c>
      <c r="C38" t="s">
        <v>143</v>
      </c>
      <c r="D38">
        <v>6000000</v>
      </c>
    </row>
    <row r="39" spans="1:4" x14ac:dyDescent="0.3">
      <c r="A39" t="s">
        <v>23</v>
      </c>
      <c r="B39" t="s">
        <v>16</v>
      </c>
      <c r="C39" t="s">
        <v>144</v>
      </c>
      <c r="D39">
        <v>4000000</v>
      </c>
    </row>
    <row r="40" spans="1:4" x14ac:dyDescent="0.3">
      <c r="A40" t="s">
        <v>23</v>
      </c>
      <c r="B40" t="s">
        <v>16</v>
      </c>
      <c r="C40" t="s">
        <v>145</v>
      </c>
      <c r="D40">
        <v>908000</v>
      </c>
    </row>
    <row r="41" spans="1:4" x14ac:dyDescent="0.3">
      <c r="A41" t="s">
        <v>23</v>
      </c>
      <c r="B41" t="s">
        <v>16</v>
      </c>
      <c r="C41" t="s">
        <v>48</v>
      </c>
      <c r="D41">
        <v>0</v>
      </c>
    </row>
    <row r="42" spans="1:4" x14ac:dyDescent="0.3">
      <c r="A42" t="s">
        <v>23</v>
      </c>
      <c r="B42" t="s">
        <v>16</v>
      </c>
      <c r="C42" t="s">
        <v>49</v>
      </c>
      <c r="D42">
        <v>0</v>
      </c>
    </row>
    <row r="43" spans="1:4" x14ac:dyDescent="0.3">
      <c r="A43" t="s">
        <v>23</v>
      </c>
      <c r="B43" t="s">
        <v>16</v>
      </c>
      <c r="C43" t="s">
        <v>146</v>
      </c>
      <c r="D43">
        <v>285000</v>
      </c>
    </row>
    <row r="44" spans="1:4" x14ac:dyDescent="0.3">
      <c r="A44" t="s">
        <v>24</v>
      </c>
      <c r="B44" t="s">
        <v>16</v>
      </c>
      <c r="C44" t="s">
        <v>142</v>
      </c>
      <c r="D44">
        <v>9105000</v>
      </c>
    </row>
    <row r="45" spans="1:4" x14ac:dyDescent="0.3">
      <c r="A45" t="s">
        <v>24</v>
      </c>
      <c r="B45" t="s">
        <v>16</v>
      </c>
      <c r="C45" t="s">
        <v>143</v>
      </c>
      <c r="D45">
        <v>6000000</v>
      </c>
    </row>
    <row r="46" spans="1:4" x14ac:dyDescent="0.3">
      <c r="A46" t="s">
        <v>24</v>
      </c>
      <c r="B46" t="s">
        <v>16</v>
      </c>
      <c r="C46" t="s">
        <v>144</v>
      </c>
      <c r="D46">
        <v>4000000</v>
      </c>
    </row>
    <row r="47" spans="1:4" x14ac:dyDescent="0.3">
      <c r="A47" t="s">
        <v>24</v>
      </c>
      <c r="B47" t="s">
        <v>16</v>
      </c>
      <c r="C47" t="s">
        <v>145</v>
      </c>
      <c r="D47">
        <v>1011000</v>
      </c>
    </row>
    <row r="48" spans="1:4" x14ac:dyDescent="0.3">
      <c r="A48" t="s">
        <v>24</v>
      </c>
      <c r="B48" t="s">
        <v>16</v>
      </c>
      <c r="C48" t="s">
        <v>48</v>
      </c>
      <c r="D48">
        <v>400000</v>
      </c>
    </row>
    <row r="49" spans="1:4" x14ac:dyDescent="0.3">
      <c r="A49" t="s">
        <v>24</v>
      </c>
      <c r="B49" t="s">
        <v>16</v>
      </c>
      <c r="C49" t="s">
        <v>49</v>
      </c>
      <c r="D49">
        <v>0</v>
      </c>
    </row>
    <row r="50" spans="1:4" x14ac:dyDescent="0.3">
      <c r="A50" t="s">
        <v>24</v>
      </c>
      <c r="B50" t="s">
        <v>16</v>
      </c>
      <c r="C50" t="s">
        <v>146</v>
      </c>
      <c r="D50">
        <v>275000</v>
      </c>
    </row>
    <row r="51" spans="1:4" x14ac:dyDescent="0.3">
      <c r="A51" t="s">
        <v>25</v>
      </c>
      <c r="B51" t="s">
        <v>16</v>
      </c>
      <c r="C51" t="s">
        <v>142</v>
      </c>
      <c r="D51">
        <v>6160000</v>
      </c>
    </row>
    <row r="52" spans="1:4" x14ac:dyDescent="0.3">
      <c r="A52" t="s">
        <v>25</v>
      </c>
      <c r="B52" t="s">
        <v>16</v>
      </c>
      <c r="C52" t="s">
        <v>143</v>
      </c>
      <c r="D52">
        <v>6000000</v>
      </c>
    </row>
    <row r="53" spans="1:4" x14ac:dyDescent="0.3">
      <c r="A53" t="s">
        <v>25</v>
      </c>
      <c r="B53" t="s">
        <v>16</v>
      </c>
      <c r="C53" t="s">
        <v>144</v>
      </c>
      <c r="D53">
        <v>4000000</v>
      </c>
    </row>
    <row r="54" spans="1:4" x14ac:dyDescent="0.3">
      <c r="A54" t="s">
        <v>25</v>
      </c>
      <c r="B54" t="s">
        <v>16</v>
      </c>
      <c r="C54" t="s">
        <v>145</v>
      </c>
      <c r="D54">
        <v>750000</v>
      </c>
    </row>
    <row r="55" spans="1:4" x14ac:dyDescent="0.3">
      <c r="A55" t="s">
        <v>25</v>
      </c>
      <c r="B55" t="s">
        <v>16</v>
      </c>
      <c r="C55" t="s">
        <v>48</v>
      </c>
      <c r="D55">
        <v>400000</v>
      </c>
    </row>
    <row r="56" spans="1:4" x14ac:dyDescent="0.3">
      <c r="A56" t="s">
        <v>25</v>
      </c>
      <c r="B56" t="s">
        <v>16</v>
      </c>
      <c r="C56" t="s">
        <v>49</v>
      </c>
      <c r="D56">
        <v>0</v>
      </c>
    </row>
    <row r="57" spans="1:4" x14ac:dyDescent="0.3">
      <c r="A57" t="s">
        <v>25</v>
      </c>
      <c r="B57" t="s">
        <v>16</v>
      </c>
      <c r="C57" t="s">
        <v>146</v>
      </c>
      <c r="D57">
        <v>245000</v>
      </c>
    </row>
    <row r="58" spans="1:4" x14ac:dyDescent="0.3">
      <c r="A58" t="s">
        <v>26</v>
      </c>
      <c r="B58" t="s">
        <v>16</v>
      </c>
      <c r="C58" t="s">
        <v>142</v>
      </c>
      <c r="D58">
        <v>8380000</v>
      </c>
    </row>
    <row r="59" spans="1:4" x14ac:dyDescent="0.3">
      <c r="A59" t="s">
        <v>26</v>
      </c>
      <c r="B59" t="s">
        <v>16</v>
      </c>
      <c r="C59" t="s">
        <v>143</v>
      </c>
      <c r="D59">
        <v>6000000</v>
      </c>
    </row>
    <row r="60" spans="1:4" x14ac:dyDescent="0.3">
      <c r="A60" t="s">
        <v>26</v>
      </c>
      <c r="B60" t="s">
        <v>16</v>
      </c>
      <c r="C60" t="s">
        <v>144</v>
      </c>
      <c r="D60">
        <v>4000000</v>
      </c>
    </row>
    <row r="61" spans="1:4" x14ac:dyDescent="0.3">
      <c r="A61" t="s">
        <v>26</v>
      </c>
      <c r="B61" t="s">
        <v>16</v>
      </c>
      <c r="C61" t="s">
        <v>145</v>
      </c>
      <c r="D61">
        <v>923000</v>
      </c>
    </row>
    <row r="62" spans="1:4" x14ac:dyDescent="0.3">
      <c r="A62" t="s">
        <v>26</v>
      </c>
      <c r="B62" t="s">
        <v>16</v>
      </c>
      <c r="C62" t="s">
        <v>48</v>
      </c>
      <c r="D62">
        <v>0</v>
      </c>
    </row>
    <row r="63" spans="1:4" x14ac:dyDescent="0.3">
      <c r="A63" t="s">
        <v>26</v>
      </c>
      <c r="B63" t="s">
        <v>16</v>
      </c>
      <c r="C63" t="s">
        <v>49</v>
      </c>
      <c r="D63">
        <v>0</v>
      </c>
    </row>
    <row r="64" spans="1:4" x14ac:dyDescent="0.3">
      <c r="A64" t="s">
        <v>26</v>
      </c>
      <c r="B64" t="s">
        <v>16</v>
      </c>
      <c r="C64" t="s">
        <v>146</v>
      </c>
      <c r="D64">
        <v>451000</v>
      </c>
    </row>
    <row r="65" spans="1:4" x14ac:dyDescent="0.3">
      <c r="A65" t="s">
        <v>27</v>
      </c>
      <c r="B65" t="s">
        <v>16</v>
      </c>
      <c r="C65" t="s">
        <v>142</v>
      </c>
      <c r="D65">
        <v>8812000</v>
      </c>
    </row>
    <row r="66" spans="1:4" x14ac:dyDescent="0.3">
      <c r="A66" t="s">
        <v>27</v>
      </c>
      <c r="B66" t="s">
        <v>16</v>
      </c>
      <c r="C66" t="s">
        <v>143</v>
      </c>
      <c r="D66">
        <v>6000000</v>
      </c>
    </row>
    <row r="67" spans="1:4" x14ac:dyDescent="0.3">
      <c r="A67" t="s">
        <v>27</v>
      </c>
      <c r="B67" t="s">
        <v>16</v>
      </c>
      <c r="C67" t="s">
        <v>144</v>
      </c>
      <c r="D67">
        <v>4000000</v>
      </c>
    </row>
    <row r="68" spans="1:4" x14ac:dyDescent="0.3">
      <c r="A68" t="s">
        <v>27</v>
      </c>
      <c r="B68" t="s">
        <v>16</v>
      </c>
      <c r="C68" t="s">
        <v>145</v>
      </c>
      <c r="D68">
        <v>747000</v>
      </c>
    </row>
    <row r="69" spans="1:4" x14ac:dyDescent="0.3">
      <c r="A69" t="s">
        <v>27</v>
      </c>
      <c r="B69" t="s">
        <v>16</v>
      </c>
      <c r="C69" t="s">
        <v>48</v>
      </c>
      <c r="D69">
        <v>0</v>
      </c>
    </row>
    <row r="70" spans="1:4" x14ac:dyDescent="0.3">
      <c r="A70" t="s">
        <v>27</v>
      </c>
      <c r="B70" t="s">
        <v>16</v>
      </c>
      <c r="C70" t="s">
        <v>49</v>
      </c>
      <c r="D70">
        <v>0</v>
      </c>
    </row>
    <row r="71" spans="1:4" x14ac:dyDescent="0.3">
      <c r="A71" t="s">
        <v>27</v>
      </c>
      <c r="B71" t="s">
        <v>16</v>
      </c>
      <c r="C71" t="s">
        <v>146</v>
      </c>
      <c r="D71">
        <v>337000</v>
      </c>
    </row>
    <row r="72" spans="1:4" x14ac:dyDescent="0.3">
      <c r="A72" t="s">
        <v>28</v>
      </c>
      <c r="B72" t="s">
        <v>16</v>
      </c>
      <c r="C72" t="s">
        <v>142</v>
      </c>
      <c r="D72">
        <v>8936000</v>
      </c>
    </row>
    <row r="73" spans="1:4" x14ac:dyDescent="0.3">
      <c r="A73" t="s">
        <v>28</v>
      </c>
      <c r="B73" t="s">
        <v>16</v>
      </c>
      <c r="C73" t="s">
        <v>143</v>
      </c>
      <c r="D73">
        <v>6000000</v>
      </c>
    </row>
    <row r="74" spans="1:4" x14ac:dyDescent="0.3">
      <c r="A74" t="s">
        <v>28</v>
      </c>
      <c r="B74" t="s">
        <v>16</v>
      </c>
      <c r="C74" t="s">
        <v>144</v>
      </c>
      <c r="D74">
        <v>4000000</v>
      </c>
    </row>
    <row r="75" spans="1:4" x14ac:dyDescent="0.3">
      <c r="A75" t="s">
        <v>28</v>
      </c>
      <c r="B75" t="s">
        <v>16</v>
      </c>
      <c r="C75" t="s">
        <v>145</v>
      </c>
      <c r="D75">
        <v>761000</v>
      </c>
    </row>
    <row r="76" spans="1:4" x14ac:dyDescent="0.3">
      <c r="A76" t="s">
        <v>28</v>
      </c>
      <c r="B76" t="s">
        <v>16</v>
      </c>
      <c r="C76" t="s">
        <v>48</v>
      </c>
      <c r="D76">
        <v>400000</v>
      </c>
    </row>
    <row r="77" spans="1:4" x14ac:dyDescent="0.3">
      <c r="A77" t="s">
        <v>28</v>
      </c>
      <c r="B77" t="s">
        <v>16</v>
      </c>
      <c r="C77" t="s">
        <v>49</v>
      </c>
      <c r="D77">
        <v>0</v>
      </c>
    </row>
    <row r="78" spans="1:4" x14ac:dyDescent="0.3">
      <c r="A78" t="s">
        <v>28</v>
      </c>
      <c r="B78" t="s">
        <v>16</v>
      </c>
      <c r="C78" t="s">
        <v>146</v>
      </c>
      <c r="D78">
        <v>234000</v>
      </c>
    </row>
    <row r="79" spans="1:4" x14ac:dyDescent="0.3">
      <c r="A79" t="s">
        <v>29</v>
      </c>
      <c r="B79" t="s">
        <v>16</v>
      </c>
      <c r="C79" t="s">
        <v>142</v>
      </c>
      <c r="D79">
        <v>11494000</v>
      </c>
    </row>
    <row r="80" spans="1:4" x14ac:dyDescent="0.3">
      <c r="A80" t="s">
        <v>29</v>
      </c>
      <c r="B80" t="s">
        <v>16</v>
      </c>
      <c r="C80" t="s">
        <v>143</v>
      </c>
      <c r="D80">
        <v>6000000</v>
      </c>
    </row>
    <row r="81" spans="1:4" x14ac:dyDescent="0.3">
      <c r="A81" t="s">
        <v>29</v>
      </c>
      <c r="B81" t="s">
        <v>16</v>
      </c>
      <c r="C81" t="s">
        <v>144</v>
      </c>
      <c r="D81">
        <v>4000000</v>
      </c>
    </row>
    <row r="82" spans="1:4" x14ac:dyDescent="0.3">
      <c r="A82" t="s">
        <v>29</v>
      </c>
      <c r="B82" t="s">
        <v>16</v>
      </c>
      <c r="C82" t="s">
        <v>145</v>
      </c>
      <c r="D82">
        <v>789000</v>
      </c>
    </row>
    <row r="83" spans="1:4" x14ac:dyDescent="0.3">
      <c r="A83" t="s">
        <v>29</v>
      </c>
      <c r="B83" t="s">
        <v>16</v>
      </c>
      <c r="C83" t="s">
        <v>48</v>
      </c>
      <c r="D83">
        <v>0</v>
      </c>
    </row>
    <row r="84" spans="1:4" x14ac:dyDescent="0.3">
      <c r="A84" t="s">
        <v>29</v>
      </c>
      <c r="B84" t="s">
        <v>16</v>
      </c>
      <c r="C84" t="s">
        <v>49</v>
      </c>
      <c r="D84">
        <v>1800000</v>
      </c>
    </row>
    <row r="85" spans="1:4" x14ac:dyDescent="0.3">
      <c r="A85" t="s">
        <v>29</v>
      </c>
      <c r="B85" t="s">
        <v>16</v>
      </c>
      <c r="C85" t="s">
        <v>146</v>
      </c>
      <c r="D85">
        <v>442000</v>
      </c>
    </row>
    <row r="86" spans="1:4" x14ac:dyDescent="0.3">
      <c r="A86" t="s">
        <v>30</v>
      </c>
      <c r="B86" t="s">
        <v>16</v>
      </c>
      <c r="C86" t="s">
        <v>142</v>
      </c>
      <c r="D86">
        <v>9301000</v>
      </c>
    </row>
    <row r="87" spans="1:4" x14ac:dyDescent="0.3">
      <c r="A87" t="s">
        <v>30</v>
      </c>
      <c r="B87" t="s">
        <v>16</v>
      </c>
      <c r="C87" t="s">
        <v>143</v>
      </c>
      <c r="D87">
        <v>7000000</v>
      </c>
    </row>
    <row r="88" spans="1:4" x14ac:dyDescent="0.3">
      <c r="A88" t="s">
        <v>30</v>
      </c>
      <c r="B88" t="s">
        <v>16</v>
      </c>
      <c r="C88" t="s">
        <v>144</v>
      </c>
      <c r="D88">
        <v>4000000</v>
      </c>
    </row>
    <row r="89" spans="1:4" x14ac:dyDescent="0.3">
      <c r="A89" t="s">
        <v>30</v>
      </c>
      <c r="B89" t="s">
        <v>16</v>
      </c>
      <c r="C89" t="s">
        <v>145</v>
      </c>
      <c r="D89">
        <v>769000</v>
      </c>
    </row>
    <row r="90" spans="1:4" x14ac:dyDescent="0.3">
      <c r="A90" t="s">
        <v>30</v>
      </c>
      <c r="B90" t="s">
        <v>16</v>
      </c>
      <c r="C90" t="s">
        <v>48</v>
      </c>
      <c r="D90">
        <v>0</v>
      </c>
    </row>
    <row r="91" spans="1:4" x14ac:dyDescent="0.3">
      <c r="A91" t="s">
        <v>30</v>
      </c>
      <c r="B91" t="s">
        <v>16</v>
      </c>
      <c r="C91" t="s">
        <v>49</v>
      </c>
      <c r="D91">
        <v>0</v>
      </c>
    </row>
    <row r="92" spans="1:4" x14ac:dyDescent="0.3">
      <c r="A92" t="s">
        <v>30</v>
      </c>
      <c r="B92" t="s">
        <v>16</v>
      </c>
      <c r="C92" t="s">
        <v>146</v>
      </c>
      <c r="D92">
        <v>374000</v>
      </c>
    </row>
    <row r="93" spans="1:4" x14ac:dyDescent="0.3">
      <c r="A93" t="s">
        <v>31</v>
      </c>
      <c r="B93" t="s">
        <v>16</v>
      </c>
      <c r="C93" t="s">
        <v>142</v>
      </c>
      <c r="D93">
        <v>8367000</v>
      </c>
    </row>
    <row r="94" spans="1:4" x14ac:dyDescent="0.3">
      <c r="A94" t="s">
        <v>31</v>
      </c>
      <c r="B94" t="s">
        <v>16</v>
      </c>
      <c r="C94" t="s">
        <v>143</v>
      </c>
      <c r="D94">
        <v>7000000</v>
      </c>
    </row>
    <row r="95" spans="1:4" x14ac:dyDescent="0.3">
      <c r="A95" t="s">
        <v>31</v>
      </c>
      <c r="B95" t="s">
        <v>16</v>
      </c>
      <c r="C95" t="s">
        <v>144</v>
      </c>
      <c r="D95">
        <v>4000000</v>
      </c>
    </row>
    <row r="96" spans="1:4" x14ac:dyDescent="0.3">
      <c r="A96" t="s">
        <v>31</v>
      </c>
      <c r="B96" t="s">
        <v>16</v>
      </c>
      <c r="C96" t="s">
        <v>145</v>
      </c>
      <c r="D96">
        <v>820000</v>
      </c>
    </row>
    <row r="97" spans="1:4" x14ac:dyDescent="0.3">
      <c r="A97" t="s">
        <v>31</v>
      </c>
      <c r="B97" t="s">
        <v>16</v>
      </c>
      <c r="C97" t="s">
        <v>48</v>
      </c>
      <c r="D97">
        <v>200000</v>
      </c>
    </row>
    <row r="98" spans="1:4" x14ac:dyDescent="0.3">
      <c r="A98" t="s">
        <v>31</v>
      </c>
      <c r="B98" t="s">
        <v>16</v>
      </c>
      <c r="C98" t="s">
        <v>49</v>
      </c>
      <c r="D98">
        <v>300000</v>
      </c>
    </row>
    <row r="99" spans="1:4" x14ac:dyDescent="0.3">
      <c r="A99" t="s">
        <v>31</v>
      </c>
      <c r="B99" t="s">
        <v>16</v>
      </c>
      <c r="C99" t="s">
        <v>146</v>
      </c>
      <c r="D99">
        <v>221000</v>
      </c>
    </row>
    <row r="100" spans="1:4" x14ac:dyDescent="0.3">
      <c r="A100" t="s">
        <v>32</v>
      </c>
      <c r="B100" t="s">
        <v>16</v>
      </c>
      <c r="C100" t="s">
        <v>142</v>
      </c>
      <c r="D100">
        <v>8826000</v>
      </c>
    </row>
    <row r="101" spans="1:4" x14ac:dyDescent="0.3">
      <c r="A101" t="s">
        <v>32</v>
      </c>
      <c r="B101" t="s">
        <v>16</v>
      </c>
      <c r="C101" t="s">
        <v>143</v>
      </c>
      <c r="D101">
        <v>7000000</v>
      </c>
    </row>
    <row r="102" spans="1:4" x14ac:dyDescent="0.3">
      <c r="A102" t="s">
        <v>32</v>
      </c>
      <c r="B102" t="s">
        <v>16</v>
      </c>
      <c r="C102" t="s">
        <v>144</v>
      </c>
      <c r="D102">
        <v>4000000</v>
      </c>
    </row>
    <row r="103" spans="1:4" x14ac:dyDescent="0.3">
      <c r="A103" t="s">
        <v>32</v>
      </c>
      <c r="B103" t="s">
        <v>16</v>
      </c>
      <c r="C103" t="s">
        <v>145</v>
      </c>
      <c r="D103">
        <v>791000</v>
      </c>
    </row>
    <row r="104" spans="1:4" x14ac:dyDescent="0.3">
      <c r="A104" t="s">
        <v>32</v>
      </c>
      <c r="B104" t="s">
        <v>16</v>
      </c>
      <c r="C104" t="s">
        <v>48</v>
      </c>
      <c r="D104">
        <v>200000</v>
      </c>
    </row>
    <row r="105" spans="1:4" x14ac:dyDescent="0.3">
      <c r="A105" t="s">
        <v>32</v>
      </c>
      <c r="B105" t="s">
        <v>16</v>
      </c>
      <c r="C105" t="s">
        <v>49</v>
      </c>
      <c r="D105">
        <v>0</v>
      </c>
    </row>
    <row r="106" spans="1:4" x14ac:dyDescent="0.3">
      <c r="A106" t="s">
        <v>32</v>
      </c>
      <c r="B106" t="s">
        <v>16</v>
      </c>
      <c r="C106" t="s">
        <v>146</v>
      </c>
      <c r="D106">
        <v>302000</v>
      </c>
    </row>
    <row r="107" spans="1:4" x14ac:dyDescent="0.3">
      <c r="A107" t="s">
        <v>33</v>
      </c>
      <c r="B107" t="s">
        <v>16</v>
      </c>
      <c r="C107" t="s">
        <v>142</v>
      </c>
      <c r="D107">
        <v>9094000</v>
      </c>
    </row>
    <row r="108" spans="1:4" x14ac:dyDescent="0.3">
      <c r="A108" t="s">
        <v>33</v>
      </c>
      <c r="B108" t="s">
        <v>16</v>
      </c>
      <c r="C108" t="s">
        <v>143</v>
      </c>
      <c r="D108">
        <v>7000000</v>
      </c>
    </row>
    <row r="109" spans="1:4" x14ac:dyDescent="0.3">
      <c r="A109" t="s">
        <v>33</v>
      </c>
      <c r="B109" t="s">
        <v>16</v>
      </c>
      <c r="C109" t="s">
        <v>144</v>
      </c>
      <c r="D109">
        <v>4000000</v>
      </c>
    </row>
    <row r="110" spans="1:4" x14ac:dyDescent="0.3">
      <c r="A110" t="s">
        <v>33</v>
      </c>
      <c r="B110" t="s">
        <v>16</v>
      </c>
      <c r="C110" t="s">
        <v>145</v>
      </c>
      <c r="D110">
        <v>769000</v>
      </c>
    </row>
    <row r="111" spans="1:4" x14ac:dyDescent="0.3">
      <c r="A111" t="s">
        <v>33</v>
      </c>
      <c r="B111" t="s">
        <v>16</v>
      </c>
      <c r="C111" t="s">
        <v>48</v>
      </c>
      <c r="D111">
        <v>200000</v>
      </c>
    </row>
    <row r="112" spans="1:4" x14ac:dyDescent="0.3">
      <c r="A112" t="s">
        <v>33</v>
      </c>
      <c r="B112" t="s">
        <v>16</v>
      </c>
      <c r="C112" t="s">
        <v>49</v>
      </c>
      <c r="D112">
        <v>0</v>
      </c>
    </row>
    <row r="113" spans="1:4" x14ac:dyDescent="0.3">
      <c r="A113" t="s">
        <v>33</v>
      </c>
      <c r="B113" t="s">
        <v>16</v>
      </c>
      <c r="C113" t="s">
        <v>146</v>
      </c>
      <c r="D113">
        <v>300000</v>
      </c>
    </row>
    <row r="114" spans="1:4" x14ac:dyDescent="0.3">
      <c r="A114" t="s">
        <v>34</v>
      </c>
      <c r="B114" t="s">
        <v>16</v>
      </c>
      <c r="C114" t="s">
        <v>142</v>
      </c>
      <c r="D114">
        <v>10391000</v>
      </c>
    </row>
    <row r="115" spans="1:4" x14ac:dyDescent="0.3">
      <c r="A115" t="s">
        <v>34</v>
      </c>
      <c r="B115" t="s">
        <v>16</v>
      </c>
      <c r="C115" t="s">
        <v>143</v>
      </c>
      <c r="D115">
        <v>7000000</v>
      </c>
    </row>
    <row r="116" spans="1:4" x14ac:dyDescent="0.3">
      <c r="A116" t="s">
        <v>34</v>
      </c>
      <c r="B116" t="s">
        <v>16</v>
      </c>
      <c r="C116" t="s">
        <v>144</v>
      </c>
      <c r="D116">
        <v>4000000</v>
      </c>
    </row>
    <row r="117" spans="1:4" x14ac:dyDescent="0.3">
      <c r="A117" t="s">
        <v>34</v>
      </c>
      <c r="B117" t="s">
        <v>16</v>
      </c>
      <c r="C117" t="s">
        <v>145</v>
      </c>
      <c r="D117">
        <v>755000</v>
      </c>
    </row>
    <row r="118" spans="1:4" x14ac:dyDescent="0.3">
      <c r="A118" t="s">
        <v>34</v>
      </c>
      <c r="B118" t="s">
        <v>16</v>
      </c>
      <c r="C118" t="s">
        <v>48</v>
      </c>
      <c r="D118">
        <v>700000</v>
      </c>
    </row>
    <row r="119" spans="1:4" x14ac:dyDescent="0.3">
      <c r="A119" t="s">
        <v>34</v>
      </c>
      <c r="B119" t="s">
        <v>16</v>
      </c>
      <c r="C119" t="s">
        <v>49</v>
      </c>
      <c r="D119">
        <v>0</v>
      </c>
    </row>
    <row r="120" spans="1:4" x14ac:dyDescent="0.3">
      <c r="A120" t="s">
        <v>34</v>
      </c>
      <c r="B120" t="s">
        <v>16</v>
      </c>
      <c r="C120" t="s">
        <v>146</v>
      </c>
      <c r="D120">
        <v>357000</v>
      </c>
    </row>
    <row r="121" spans="1:4" x14ac:dyDescent="0.3">
      <c r="A121" t="s">
        <v>35</v>
      </c>
      <c r="B121" t="s">
        <v>16</v>
      </c>
      <c r="C121" t="s">
        <v>142</v>
      </c>
      <c r="D121">
        <v>9013000</v>
      </c>
    </row>
    <row r="122" spans="1:4" x14ac:dyDescent="0.3">
      <c r="A122" t="s">
        <v>35</v>
      </c>
      <c r="B122" t="s">
        <v>16</v>
      </c>
      <c r="C122" t="s">
        <v>143</v>
      </c>
      <c r="D122">
        <v>7000000</v>
      </c>
    </row>
    <row r="123" spans="1:4" x14ac:dyDescent="0.3">
      <c r="A123" t="s">
        <v>35</v>
      </c>
      <c r="B123" t="s">
        <v>16</v>
      </c>
      <c r="C123" t="s">
        <v>144</v>
      </c>
      <c r="D123">
        <v>4000000</v>
      </c>
    </row>
    <row r="124" spans="1:4" x14ac:dyDescent="0.3">
      <c r="A124" t="s">
        <v>35</v>
      </c>
      <c r="B124" t="s">
        <v>16</v>
      </c>
      <c r="C124" t="s">
        <v>145</v>
      </c>
      <c r="D124">
        <v>914000</v>
      </c>
    </row>
    <row r="125" spans="1:4" x14ac:dyDescent="0.3">
      <c r="A125" t="s">
        <v>35</v>
      </c>
      <c r="B125" t="s">
        <v>16</v>
      </c>
      <c r="C125" t="s">
        <v>48</v>
      </c>
      <c r="D125">
        <v>400000</v>
      </c>
    </row>
    <row r="126" spans="1:4" x14ac:dyDescent="0.3">
      <c r="A126" t="s">
        <v>35</v>
      </c>
      <c r="B126" t="s">
        <v>16</v>
      </c>
      <c r="C126" t="s">
        <v>49</v>
      </c>
      <c r="D126">
        <v>0</v>
      </c>
    </row>
    <row r="127" spans="1:4" x14ac:dyDescent="0.3">
      <c r="A127" t="s">
        <v>35</v>
      </c>
      <c r="B127" t="s">
        <v>16</v>
      </c>
      <c r="C127" t="s">
        <v>146</v>
      </c>
      <c r="D127">
        <v>252000</v>
      </c>
    </row>
    <row r="128" spans="1:4" x14ac:dyDescent="0.3">
      <c r="A128" t="s">
        <v>36</v>
      </c>
      <c r="B128" t="s">
        <v>16</v>
      </c>
      <c r="C128" t="s">
        <v>142</v>
      </c>
      <c r="D128">
        <v>10054000</v>
      </c>
    </row>
    <row r="129" spans="1:4" x14ac:dyDescent="0.3">
      <c r="A129" t="s">
        <v>36</v>
      </c>
      <c r="B129" t="s">
        <v>16</v>
      </c>
      <c r="C129" t="s">
        <v>143</v>
      </c>
      <c r="D129">
        <v>7000000</v>
      </c>
    </row>
    <row r="130" spans="1:4" x14ac:dyDescent="0.3">
      <c r="A130" t="s">
        <v>36</v>
      </c>
      <c r="B130" t="s">
        <v>16</v>
      </c>
      <c r="C130" t="s">
        <v>144</v>
      </c>
      <c r="D130">
        <v>4000000</v>
      </c>
    </row>
    <row r="131" spans="1:4" x14ac:dyDescent="0.3">
      <c r="A131" t="s">
        <v>36</v>
      </c>
      <c r="B131" t="s">
        <v>16</v>
      </c>
      <c r="C131" t="s">
        <v>145</v>
      </c>
      <c r="D131">
        <v>903000</v>
      </c>
    </row>
    <row r="132" spans="1:4" x14ac:dyDescent="0.3">
      <c r="A132" t="s">
        <v>36</v>
      </c>
      <c r="B132" t="s">
        <v>16</v>
      </c>
      <c r="C132" t="s">
        <v>48</v>
      </c>
      <c r="D132">
        <v>400000</v>
      </c>
    </row>
    <row r="133" spans="1:4" x14ac:dyDescent="0.3">
      <c r="A133" t="s">
        <v>36</v>
      </c>
      <c r="B133" t="s">
        <v>16</v>
      </c>
      <c r="C133" t="s">
        <v>49</v>
      </c>
      <c r="D133">
        <v>0</v>
      </c>
    </row>
    <row r="134" spans="1:4" x14ac:dyDescent="0.3">
      <c r="A134" t="s">
        <v>36</v>
      </c>
      <c r="B134" t="s">
        <v>16</v>
      </c>
      <c r="C134" t="s">
        <v>146</v>
      </c>
      <c r="D134">
        <v>284000</v>
      </c>
    </row>
    <row r="135" spans="1:4" x14ac:dyDescent="0.3">
      <c r="A135" t="s">
        <v>37</v>
      </c>
      <c r="B135" t="s">
        <v>16</v>
      </c>
      <c r="C135" t="s">
        <v>142</v>
      </c>
      <c r="D135">
        <v>9480000</v>
      </c>
    </row>
    <row r="136" spans="1:4" x14ac:dyDescent="0.3">
      <c r="A136" t="s">
        <v>37</v>
      </c>
      <c r="B136" t="s">
        <v>16</v>
      </c>
      <c r="C136" t="s">
        <v>143</v>
      </c>
      <c r="D136">
        <v>7000000</v>
      </c>
    </row>
    <row r="137" spans="1:4" x14ac:dyDescent="0.3">
      <c r="A137" t="s">
        <v>37</v>
      </c>
      <c r="B137" t="s">
        <v>16</v>
      </c>
      <c r="C137" t="s">
        <v>144</v>
      </c>
      <c r="D137">
        <v>4000000</v>
      </c>
    </row>
    <row r="138" spans="1:4" x14ac:dyDescent="0.3">
      <c r="A138" t="s">
        <v>37</v>
      </c>
      <c r="B138" t="s">
        <v>16</v>
      </c>
      <c r="C138" t="s">
        <v>145</v>
      </c>
      <c r="D138">
        <v>1078000</v>
      </c>
    </row>
    <row r="139" spans="1:4" x14ac:dyDescent="0.3">
      <c r="A139" t="s">
        <v>37</v>
      </c>
      <c r="B139" t="s">
        <v>16</v>
      </c>
      <c r="C139" t="s">
        <v>48</v>
      </c>
      <c r="D139">
        <v>0</v>
      </c>
    </row>
    <row r="140" spans="1:4" x14ac:dyDescent="0.3">
      <c r="A140" t="s">
        <v>37</v>
      </c>
      <c r="B140" t="s">
        <v>16</v>
      </c>
      <c r="C140" t="s">
        <v>49</v>
      </c>
      <c r="D140">
        <v>0</v>
      </c>
    </row>
    <row r="141" spans="1:4" x14ac:dyDescent="0.3">
      <c r="A141" t="s">
        <v>37</v>
      </c>
      <c r="B141" t="s">
        <v>16</v>
      </c>
      <c r="C141" t="s">
        <v>146</v>
      </c>
      <c r="D141">
        <v>229000</v>
      </c>
    </row>
    <row r="142" spans="1:4" x14ac:dyDescent="0.3">
      <c r="A142" t="s">
        <v>38</v>
      </c>
      <c r="B142" t="s">
        <v>16</v>
      </c>
      <c r="C142" t="s">
        <v>142</v>
      </c>
      <c r="D142">
        <v>9798000</v>
      </c>
    </row>
    <row r="143" spans="1:4" x14ac:dyDescent="0.3">
      <c r="A143" t="s">
        <v>38</v>
      </c>
      <c r="B143" t="s">
        <v>16</v>
      </c>
      <c r="C143" t="s">
        <v>143</v>
      </c>
      <c r="D143">
        <v>7000000</v>
      </c>
    </row>
    <row r="144" spans="1:4" x14ac:dyDescent="0.3">
      <c r="A144" t="s">
        <v>38</v>
      </c>
      <c r="B144" t="s">
        <v>16</v>
      </c>
      <c r="C144" t="s">
        <v>144</v>
      </c>
      <c r="D144">
        <v>4000000</v>
      </c>
    </row>
    <row r="145" spans="1:4" x14ac:dyDescent="0.3">
      <c r="A145" t="s">
        <v>38</v>
      </c>
      <c r="B145" t="s">
        <v>16</v>
      </c>
      <c r="C145" t="s">
        <v>145</v>
      </c>
      <c r="D145">
        <v>847000</v>
      </c>
    </row>
    <row r="146" spans="1:4" x14ac:dyDescent="0.3">
      <c r="A146" t="s">
        <v>38</v>
      </c>
      <c r="B146" t="s">
        <v>16</v>
      </c>
      <c r="C146" t="s">
        <v>48</v>
      </c>
      <c r="D146">
        <v>400000</v>
      </c>
    </row>
    <row r="147" spans="1:4" x14ac:dyDescent="0.3">
      <c r="A147" t="s">
        <v>38</v>
      </c>
      <c r="B147" t="s">
        <v>16</v>
      </c>
      <c r="C147" t="s">
        <v>49</v>
      </c>
      <c r="D147">
        <v>0</v>
      </c>
    </row>
    <row r="148" spans="1:4" x14ac:dyDescent="0.3">
      <c r="A148" t="s">
        <v>38</v>
      </c>
      <c r="B148" t="s">
        <v>16</v>
      </c>
      <c r="C148" t="s">
        <v>146</v>
      </c>
      <c r="D148">
        <v>275000</v>
      </c>
    </row>
    <row r="149" spans="1:4" x14ac:dyDescent="0.3">
      <c r="A149" t="s">
        <v>39</v>
      </c>
      <c r="B149" t="s">
        <v>16</v>
      </c>
      <c r="C149" t="s">
        <v>142</v>
      </c>
      <c r="D149">
        <v>9953000</v>
      </c>
    </row>
    <row r="150" spans="1:4" x14ac:dyDescent="0.3">
      <c r="A150" t="s">
        <v>39</v>
      </c>
      <c r="B150" t="s">
        <v>16</v>
      </c>
      <c r="C150" t="s">
        <v>143</v>
      </c>
      <c r="D150">
        <v>7000000</v>
      </c>
    </row>
    <row r="151" spans="1:4" x14ac:dyDescent="0.3">
      <c r="A151" t="s">
        <v>39</v>
      </c>
      <c r="B151" t="s">
        <v>16</v>
      </c>
      <c r="C151" t="s">
        <v>144</v>
      </c>
      <c r="D151">
        <v>4000000</v>
      </c>
    </row>
    <row r="152" spans="1:4" x14ac:dyDescent="0.3">
      <c r="A152" t="s">
        <v>39</v>
      </c>
      <c r="B152" t="s">
        <v>16</v>
      </c>
      <c r="C152" t="s">
        <v>145</v>
      </c>
      <c r="D152">
        <v>865000</v>
      </c>
    </row>
    <row r="153" spans="1:4" x14ac:dyDescent="0.3">
      <c r="A153" t="s">
        <v>39</v>
      </c>
      <c r="B153" t="s">
        <v>16</v>
      </c>
      <c r="C153" t="s">
        <v>48</v>
      </c>
      <c r="D153">
        <v>0</v>
      </c>
    </row>
    <row r="154" spans="1:4" x14ac:dyDescent="0.3">
      <c r="A154" t="s">
        <v>39</v>
      </c>
      <c r="B154" t="s">
        <v>16</v>
      </c>
      <c r="C154" t="s">
        <v>49</v>
      </c>
      <c r="D154">
        <v>0</v>
      </c>
    </row>
    <row r="155" spans="1:4" x14ac:dyDescent="0.3">
      <c r="A155" t="s">
        <v>39</v>
      </c>
      <c r="B155" t="s">
        <v>16</v>
      </c>
      <c r="C155" t="s">
        <v>146</v>
      </c>
      <c r="D155">
        <v>204000</v>
      </c>
    </row>
    <row r="156" spans="1:4" x14ac:dyDescent="0.3">
      <c r="A156" t="s">
        <v>40</v>
      </c>
      <c r="B156" t="s">
        <v>16</v>
      </c>
      <c r="C156" t="s">
        <v>142</v>
      </c>
      <c r="D156">
        <v>9842000</v>
      </c>
    </row>
    <row r="157" spans="1:4" x14ac:dyDescent="0.3">
      <c r="A157" t="s">
        <v>40</v>
      </c>
      <c r="B157" t="s">
        <v>16</v>
      </c>
      <c r="C157" t="s">
        <v>143</v>
      </c>
      <c r="D157">
        <v>7000000</v>
      </c>
    </row>
    <row r="158" spans="1:4" x14ac:dyDescent="0.3">
      <c r="A158" t="s">
        <v>40</v>
      </c>
      <c r="B158" t="s">
        <v>16</v>
      </c>
      <c r="C158" t="s">
        <v>144</v>
      </c>
      <c r="D158">
        <v>4000000</v>
      </c>
    </row>
    <row r="159" spans="1:4" x14ac:dyDescent="0.3">
      <c r="A159" t="s">
        <v>40</v>
      </c>
      <c r="B159" t="s">
        <v>16</v>
      </c>
      <c r="C159" t="s">
        <v>145</v>
      </c>
      <c r="D159">
        <v>793000</v>
      </c>
    </row>
    <row r="160" spans="1:4" x14ac:dyDescent="0.3">
      <c r="A160" t="s">
        <v>40</v>
      </c>
      <c r="B160" t="s">
        <v>16</v>
      </c>
      <c r="C160" t="s">
        <v>48</v>
      </c>
      <c r="D160">
        <v>400000</v>
      </c>
    </row>
    <row r="161" spans="1:4" x14ac:dyDescent="0.3">
      <c r="A161" t="s">
        <v>40</v>
      </c>
      <c r="B161" t="s">
        <v>16</v>
      </c>
      <c r="C161" t="s">
        <v>49</v>
      </c>
      <c r="D161">
        <v>0</v>
      </c>
    </row>
    <row r="162" spans="1:4" x14ac:dyDescent="0.3">
      <c r="A162" t="s">
        <v>40</v>
      </c>
      <c r="B162" t="s">
        <v>16</v>
      </c>
      <c r="C162" t="s">
        <v>146</v>
      </c>
      <c r="D162">
        <v>333000</v>
      </c>
    </row>
    <row r="163" spans="1:4" x14ac:dyDescent="0.3">
      <c r="A163" t="s">
        <v>41</v>
      </c>
      <c r="B163" t="s">
        <v>16</v>
      </c>
      <c r="C163" t="s">
        <v>142</v>
      </c>
      <c r="D163">
        <v>13007000</v>
      </c>
    </row>
    <row r="164" spans="1:4" x14ac:dyDescent="0.3">
      <c r="A164" t="s">
        <v>41</v>
      </c>
      <c r="B164" t="s">
        <v>16</v>
      </c>
      <c r="C164" t="s">
        <v>143</v>
      </c>
      <c r="D164">
        <v>7000000</v>
      </c>
    </row>
    <row r="165" spans="1:4" x14ac:dyDescent="0.3">
      <c r="A165" t="s">
        <v>41</v>
      </c>
      <c r="B165" t="s">
        <v>16</v>
      </c>
      <c r="C165" t="s">
        <v>144</v>
      </c>
      <c r="D165">
        <v>4000000</v>
      </c>
    </row>
    <row r="166" spans="1:4" x14ac:dyDescent="0.3">
      <c r="A166" t="s">
        <v>41</v>
      </c>
      <c r="B166" t="s">
        <v>16</v>
      </c>
      <c r="C166" t="s">
        <v>145</v>
      </c>
      <c r="D166">
        <v>873000</v>
      </c>
    </row>
    <row r="167" spans="1:4" x14ac:dyDescent="0.3">
      <c r="A167" t="s">
        <v>41</v>
      </c>
      <c r="B167" t="s">
        <v>16</v>
      </c>
      <c r="C167" t="s">
        <v>48</v>
      </c>
      <c r="D167">
        <v>700000</v>
      </c>
    </row>
    <row r="168" spans="1:4" x14ac:dyDescent="0.3">
      <c r="A168" t="s">
        <v>41</v>
      </c>
      <c r="B168" t="s">
        <v>16</v>
      </c>
      <c r="C168" t="s">
        <v>49</v>
      </c>
      <c r="D168">
        <v>0</v>
      </c>
    </row>
    <row r="169" spans="1:4" x14ac:dyDescent="0.3">
      <c r="A169" t="s">
        <v>41</v>
      </c>
      <c r="B169" t="s">
        <v>16</v>
      </c>
      <c r="C169" t="s">
        <v>146</v>
      </c>
      <c r="D169">
        <v>307000</v>
      </c>
    </row>
    <row r="170" spans="1:4" x14ac:dyDescent="0.3">
      <c r="A170" t="s">
        <v>21</v>
      </c>
      <c r="B170" t="s">
        <v>15</v>
      </c>
      <c r="C170" t="s">
        <v>142</v>
      </c>
      <c r="D170">
        <v>2681000</v>
      </c>
    </row>
    <row r="171" spans="1:4" x14ac:dyDescent="0.3">
      <c r="A171" t="s">
        <v>21</v>
      </c>
      <c r="B171" t="s">
        <v>15</v>
      </c>
      <c r="C171" t="s">
        <v>143</v>
      </c>
      <c r="D171">
        <v>4500000</v>
      </c>
    </row>
    <row r="172" spans="1:4" x14ac:dyDescent="0.3">
      <c r="A172" t="s">
        <v>21</v>
      </c>
      <c r="B172" t="s">
        <v>15</v>
      </c>
      <c r="C172" t="s">
        <v>144</v>
      </c>
      <c r="D172">
        <v>3000000</v>
      </c>
    </row>
    <row r="173" spans="1:4" x14ac:dyDescent="0.3">
      <c r="A173" t="s">
        <v>21</v>
      </c>
      <c r="B173" t="s">
        <v>15</v>
      </c>
      <c r="C173" t="s">
        <v>145</v>
      </c>
      <c r="D173">
        <v>610000</v>
      </c>
    </row>
    <row r="174" spans="1:4" x14ac:dyDescent="0.3">
      <c r="A174" t="s">
        <v>21</v>
      </c>
      <c r="B174" t="s">
        <v>15</v>
      </c>
      <c r="C174" t="s">
        <v>48</v>
      </c>
      <c r="D174">
        <v>1200000</v>
      </c>
    </row>
    <row r="175" spans="1:4" x14ac:dyDescent="0.3">
      <c r="A175" t="s">
        <v>21</v>
      </c>
      <c r="B175" t="s">
        <v>15</v>
      </c>
      <c r="C175" t="s">
        <v>49</v>
      </c>
      <c r="D175">
        <v>0</v>
      </c>
    </row>
    <row r="176" spans="1:4" x14ac:dyDescent="0.3">
      <c r="A176" t="s">
        <v>21</v>
      </c>
      <c r="B176" t="s">
        <v>15</v>
      </c>
      <c r="C176" t="s">
        <v>146</v>
      </c>
      <c r="D176">
        <v>351000</v>
      </c>
    </row>
    <row r="177" spans="1:4" x14ac:dyDescent="0.3">
      <c r="A177" t="s">
        <v>22</v>
      </c>
      <c r="B177" t="s">
        <v>15</v>
      </c>
      <c r="C177" t="s">
        <v>142</v>
      </c>
      <c r="D177">
        <v>3302000</v>
      </c>
    </row>
    <row r="178" spans="1:4" x14ac:dyDescent="0.3">
      <c r="A178" t="s">
        <v>22</v>
      </c>
      <c r="B178" t="s">
        <v>15</v>
      </c>
      <c r="C178" t="s">
        <v>143</v>
      </c>
      <c r="D178">
        <v>4500000</v>
      </c>
    </row>
    <row r="179" spans="1:4" x14ac:dyDescent="0.3">
      <c r="A179" t="s">
        <v>22</v>
      </c>
      <c r="B179" t="s">
        <v>15</v>
      </c>
      <c r="C179" t="s">
        <v>144</v>
      </c>
      <c r="D179">
        <v>3000000</v>
      </c>
    </row>
    <row r="180" spans="1:4" x14ac:dyDescent="0.3">
      <c r="A180" t="s">
        <v>22</v>
      </c>
      <c r="B180" t="s">
        <v>15</v>
      </c>
      <c r="C180" t="s">
        <v>145</v>
      </c>
      <c r="D180">
        <v>479000</v>
      </c>
    </row>
    <row r="181" spans="1:4" x14ac:dyDescent="0.3">
      <c r="A181" t="s">
        <v>22</v>
      </c>
      <c r="B181" t="s">
        <v>15</v>
      </c>
      <c r="C181" t="s">
        <v>48</v>
      </c>
      <c r="D181">
        <v>800000</v>
      </c>
    </row>
    <row r="182" spans="1:4" x14ac:dyDescent="0.3">
      <c r="A182" t="s">
        <v>22</v>
      </c>
      <c r="B182" t="s">
        <v>15</v>
      </c>
      <c r="C182" t="s">
        <v>49</v>
      </c>
      <c r="D182">
        <v>0</v>
      </c>
    </row>
    <row r="183" spans="1:4" x14ac:dyDescent="0.3">
      <c r="A183" t="s">
        <v>22</v>
      </c>
      <c r="B183" t="s">
        <v>15</v>
      </c>
      <c r="C183" t="s">
        <v>146</v>
      </c>
      <c r="D183">
        <v>286000</v>
      </c>
    </row>
    <row r="184" spans="1:4" x14ac:dyDescent="0.3">
      <c r="A184" t="s">
        <v>23</v>
      </c>
      <c r="B184" t="s">
        <v>15</v>
      </c>
      <c r="C184" t="s">
        <v>142</v>
      </c>
      <c r="D184">
        <v>4140000</v>
      </c>
    </row>
    <row r="185" spans="1:4" x14ac:dyDescent="0.3">
      <c r="A185" t="s">
        <v>23</v>
      </c>
      <c r="B185" t="s">
        <v>15</v>
      </c>
      <c r="C185" t="s">
        <v>143</v>
      </c>
      <c r="D185">
        <v>4500000</v>
      </c>
    </row>
    <row r="186" spans="1:4" x14ac:dyDescent="0.3">
      <c r="A186" t="s">
        <v>23</v>
      </c>
      <c r="B186" t="s">
        <v>15</v>
      </c>
      <c r="C186" t="s">
        <v>144</v>
      </c>
      <c r="D186">
        <v>3000000</v>
      </c>
    </row>
    <row r="187" spans="1:4" x14ac:dyDescent="0.3">
      <c r="A187" t="s">
        <v>23</v>
      </c>
      <c r="B187" t="s">
        <v>15</v>
      </c>
      <c r="C187" t="s">
        <v>145</v>
      </c>
      <c r="D187">
        <v>601000</v>
      </c>
    </row>
    <row r="188" spans="1:4" x14ac:dyDescent="0.3">
      <c r="A188" t="s">
        <v>23</v>
      </c>
      <c r="B188" t="s">
        <v>15</v>
      </c>
      <c r="C188" t="s">
        <v>48</v>
      </c>
      <c r="D188">
        <v>800000</v>
      </c>
    </row>
    <row r="189" spans="1:4" x14ac:dyDescent="0.3">
      <c r="A189" t="s">
        <v>23</v>
      </c>
      <c r="B189" t="s">
        <v>15</v>
      </c>
      <c r="C189" t="s">
        <v>49</v>
      </c>
      <c r="D189">
        <v>0</v>
      </c>
    </row>
    <row r="190" spans="1:4" x14ac:dyDescent="0.3">
      <c r="A190" t="s">
        <v>23</v>
      </c>
      <c r="B190" t="s">
        <v>15</v>
      </c>
      <c r="C190" t="s">
        <v>146</v>
      </c>
      <c r="D190">
        <v>394000</v>
      </c>
    </row>
    <row r="191" spans="1:4" x14ac:dyDescent="0.3">
      <c r="A191" t="s">
        <v>24</v>
      </c>
      <c r="B191" t="s">
        <v>15</v>
      </c>
      <c r="C191" t="s">
        <v>142</v>
      </c>
      <c r="D191">
        <v>2855000</v>
      </c>
    </row>
    <row r="192" spans="1:4" x14ac:dyDescent="0.3">
      <c r="A192" t="s">
        <v>24</v>
      </c>
      <c r="B192" t="s">
        <v>15</v>
      </c>
      <c r="C192" t="s">
        <v>143</v>
      </c>
      <c r="D192">
        <v>4500000</v>
      </c>
    </row>
    <row r="193" spans="1:4" x14ac:dyDescent="0.3">
      <c r="A193" t="s">
        <v>24</v>
      </c>
      <c r="B193" t="s">
        <v>15</v>
      </c>
      <c r="C193" t="s">
        <v>144</v>
      </c>
      <c r="D193">
        <v>3000000</v>
      </c>
    </row>
    <row r="194" spans="1:4" x14ac:dyDescent="0.3">
      <c r="A194" t="s">
        <v>24</v>
      </c>
      <c r="B194" t="s">
        <v>15</v>
      </c>
      <c r="C194" t="s">
        <v>145</v>
      </c>
      <c r="D194">
        <v>621000</v>
      </c>
    </row>
    <row r="195" spans="1:4" x14ac:dyDescent="0.3">
      <c r="A195" t="s">
        <v>24</v>
      </c>
      <c r="B195" t="s">
        <v>15</v>
      </c>
      <c r="C195" t="s">
        <v>48</v>
      </c>
      <c r="D195">
        <v>0</v>
      </c>
    </row>
    <row r="196" spans="1:4" x14ac:dyDescent="0.3">
      <c r="A196" t="s">
        <v>24</v>
      </c>
      <c r="B196" t="s">
        <v>15</v>
      </c>
      <c r="C196" t="s">
        <v>49</v>
      </c>
      <c r="D196">
        <v>0</v>
      </c>
    </row>
    <row r="197" spans="1:4" x14ac:dyDescent="0.3">
      <c r="A197" t="s">
        <v>24</v>
      </c>
      <c r="B197" t="s">
        <v>15</v>
      </c>
      <c r="C197" t="s">
        <v>146</v>
      </c>
      <c r="D197">
        <v>257000</v>
      </c>
    </row>
    <row r="198" spans="1:4" x14ac:dyDescent="0.3">
      <c r="A198" t="s">
        <v>25</v>
      </c>
      <c r="B198" t="s">
        <v>15</v>
      </c>
      <c r="C198" t="s">
        <v>142</v>
      </c>
      <c r="D198">
        <v>4985000</v>
      </c>
    </row>
    <row r="199" spans="1:4" x14ac:dyDescent="0.3">
      <c r="A199" t="s">
        <v>25</v>
      </c>
      <c r="B199" t="s">
        <v>15</v>
      </c>
      <c r="C199" t="s">
        <v>143</v>
      </c>
      <c r="D199">
        <v>4500000</v>
      </c>
    </row>
    <row r="200" spans="1:4" x14ac:dyDescent="0.3">
      <c r="A200" t="s">
        <v>25</v>
      </c>
      <c r="B200" t="s">
        <v>15</v>
      </c>
      <c r="C200" t="s">
        <v>144</v>
      </c>
      <c r="D200">
        <v>0</v>
      </c>
    </row>
    <row r="201" spans="1:4" x14ac:dyDescent="0.3">
      <c r="A201" t="s">
        <v>25</v>
      </c>
      <c r="B201" t="s">
        <v>15</v>
      </c>
      <c r="C201" t="s">
        <v>145</v>
      </c>
      <c r="D201">
        <v>681000</v>
      </c>
    </row>
    <row r="202" spans="1:4" x14ac:dyDescent="0.3">
      <c r="A202" t="s">
        <v>25</v>
      </c>
      <c r="B202" t="s">
        <v>15</v>
      </c>
      <c r="C202" t="s">
        <v>48</v>
      </c>
      <c r="D202">
        <v>200000</v>
      </c>
    </row>
    <row r="203" spans="1:4" x14ac:dyDescent="0.3">
      <c r="A203" t="s">
        <v>25</v>
      </c>
      <c r="B203" t="s">
        <v>15</v>
      </c>
      <c r="C203" t="s">
        <v>49</v>
      </c>
      <c r="D203">
        <v>0</v>
      </c>
    </row>
    <row r="204" spans="1:4" x14ac:dyDescent="0.3">
      <c r="A204" t="s">
        <v>25</v>
      </c>
      <c r="B204" t="s">
        <v>15</v>
      </c>
      <c r="C204" t="s">
        <v>144</v>
      </c>
      <c r="D204">
        <v>3000000</v>
      </c>
    </row>
    <row r="205" spans="1:4" x14ac:dyDescent="0.3">
      <c r="A205" t="s">
        <v>25</v>
      </c>
      <c r="B205" t="s">
        <v>15</v>
      </c>
      <c r="C205" t="s">
        <v>146</v>
      </c>
      <c r="D205">
        <v>331000</v>
      </c>
    </row>
    <row r="206" spans="1:4" x14ac:dyDescent="0.3">
      <c r="A206" t="s">
        <v>26</v>
      </c>
      <c r="B206" t="s">
        <v>15</v>
      </c>
      <c r="C206" t="s">
        <v>142</v>
      </c>
      <c r="D206">
        <v>5797000</v>
      </c>
    </row>
    <row r="207" spans="1:4" x14ac:dyDescent="0.3">
      <c r="A207" t="s">
        <v>26</v>
      </c>
      <c r="B207" t="s">
        <v>15</v>
      </c>
      <c r="C207" t="s">
        <v>143</v>
      </c>
      <c r="D207">
        <v>4500000</v>
      </c>
    </row>
    <row r="208" spans="1:4" x14ac:dyDescent="0.3">
      <c r="A208" t="s">
        <v>26</v>
      </c>
      <c r="B208" t="s">
        <v>15</v>
      </c>
      <c r="C208" t="s">
        <v>144</v>
      </c>
      <c r="D208">
        <v>0</v>
      </c>
    </row>
    <row r="209" spans="1:4" x14ac:dyDescent="0.3">
      <c r="A209" t="s">
        <v>26</v>
      </c>
      <c r="B209" t="s">
        <v>15</v>
      </c>
      <c r="C209" t="s">
        <v>145</v>
      </c>
      <c r="D209">
        <v>472000</v>
      </c>
    </row>
    <row r="210" spans="1:4" x14ac:dyDescent="0.3">
      <c r="A210" t="s">
        <v>26</v>
      </c>
      <c r="B210" t="s">
        <v>15</v>
      </c>
      <c r="C210" t="s">
        <v>48</v>
      </c>
      <c r="D210">
        <v>400000</v>
      </c>
    </row>
    <row r="211" spans="1:4" x14ac:dyDescent="0.3">
      <c r="A211" t="s">
        <v>26</v>
      </c>
      <c r="B211" t="s">
        <v>15</v>
      </c>
      <c r="C211" t="s">
        <v>49</v>
      </c>
      <c r="D211">
        <v>250000</v>
      </c>
    </row>
    <row r="212" spans="1:4" x14ac:dyDescent="0.3">
      <c r="A212" t="s">
        <v>26</v>
      </c>
      <c r="B212" t="s">
        <v>15</v>
      </c>
      <c r="C212" t="s">
        <v>144</v>
      </c>
      <c r="D212">
        <v>3000000</v>
      </c>
    </row>
    <row r="213" spans="1:4" x14ac:dyDescent="0.3">
      <c r="A213" t="s">
        <v>26</v>
      </c>
      <c r="B213" t="s">
        <v>15</v>
      </c>
      <c r="C213" t="s">
        <v>146</v>
      </c>
      <c r="D213">
        <v>395000</v>
      </c>
    </row>
    <row r="214" spans="1:4" x14ac:dyDescent="0.3">
      <c r="A214" t="s">
        <v>27</v>
      </c>
      <c r="B214" t="s">
        <v>15</v>
      </c>
      <c r="C214" t="s">
        <v>144</v>
      </c>
      <c r="D214">
        <v>3000000</v>
      </c>
    </row>
    <row r="215" spans="1:4" x14ac:dyDescent="0.3">
      <c r="A215" t="s">
        <v>27</v>
      </c>
      <c r="B215" t="s">
        <v>15</v>
      </c>
      <c r="C215" t="s">
        <v>142</v>
      </c>
      <c r="D215">
        <v>6049000</v>
      </c>
    </row>
    <row r="216" spans="1:4" x14ac:dyDescent="0.3">
      <c r="A216" t="s">
        <v>27</v>
      </c>
      <c r="B216" t="s">
        <v>15</v>
      </c>
      <c r="C216" t="s">
        <v>143</v>
      </c>
      <c r="D216">
        <v>4500000</v>
      </c>
    </row>
    <row r="217" spans="1:4" x14ac:dyDescent="0.3">
      <c r="A217" t="s">
        <v>27</v>
      </c>
      <c r="B217" t="s">
        <v>15</v>
      </c>
      <c r="C217" t="s">
        <v>145</v>
      </c>
      <c r="D217">
        <v>473000</v>
      </c>
    </row>
    <row r="218" spans="1:4" x14ac:dyDescent="0.3">
      <c r="A218" t="s">
        <v>27</v>
      </c>
      <c r="B218" t="s">
        <v>15</v>
      </c>
      <c r="C218" t="s">
        <v>48</v>
      </c>
      <c r="D218">
        <v>0</v>
      </c>
    </row>
    <row r="219" spans="1:4" x14ac:dyDescent="0.3">
      <c r="A219" t="s">
        <v>27</v>
      </c>
      <c r="B219" t="s">
        <v>15</v>
      </c>
      <c r="C219" t="s">
        <v>49</v>
      </c>
      <c r="D219">
        <v>0</v>
      </c>
    </row>
    <row r="220" spans="1:4" x14ac:dyDescent="0.3">
      <c r="A220" t="s">
        <v>27</v>
      </c>
      <c r="B220" t="s">
        <v>15</v>
      </c>
      <c r="C220" t="s">
        <v>146</v>
      </c>
      <c r="D220">
        <v>386000</v>
      </c>
    </row>
    <row r="221" spans="1:4" x14ac:dyDescent="0.3">
      <c r="A221" t="s">
        <v>28</v>
      </c>
      <c r="B221" t="s">
        <v>15</v>
      </c>
      <c r="C221" t="s">
        <v>142</v>
      </c>
      <c r="D221">
        <v>6597000</v>
      </c>
    </row>
    <row r="222" spans="1:4" x14ac:dyDescent="0.3">
      <c r="A222" t="s">
        <v>28</v>
      </c>
      <c r="B222" t="s">
        <v>15</v>
      </c>
      <c r="C222" t="s">
        <v>143</v>
      </c>
      <c r="D222">
        <v>4500000</v>
      </c>
    </row>
    <row r="223" spans="1:4" x14ac:dyDescent="0.3">
      <c r="A223" t="s">
        <v>28</v>
      </c>
      <c r="B223" t="s">
        <v>15</v>
      </c>
      <c r="C223" t="s">
        <v>144</v>
      </c>
      <c r="D223">
        <v>3000000</v>
      </c>
    </row>
    <row r="224" spans="1:4" x14ac:dyDescent="0.3">
      <c r="A224" t="s">
        <v>28</v>
      </c>
      <c r="B224" t="s">
        <v>15</v>
      </c>
      <c r="C224" t="s">
        <v>145</v>
      </c>
      <c r="D224">
        <v>594000</v>
      </c>
    </row>
    <row r="225" spans="1:4" x14ac:dyDescent="0.3">
      <c r="A225" t="s">
        <v>28</v>
      </c>
      <c r="B225" t="s">
        <v>15</v>
      </c>
      <c r="C225" t="s">
        <v>48</v>
      </c>
      <c r="D225">
        <v>0</v>
      </c>
    </row>
    <row r="226" spans="1:4" x14ac:dyDescent="0.3">
      <c r="A226" t="s">
        <v>28</v>
      </c>
      <c r="B226" t="s">
        <v>15</v>
      </c>
      <c r="C226" t="s">
        <v>49</v>
      </c>
      <c r="D226">
        <v>250000</v>
      </c>
    </row>
    <row r="227" spans="1:4" x14ac:dyDescent="0.3">
      <c r="A227" t="s">
        <v>28</v>
      </c>
      <c r="B227" t="s">
        <v>15</v>
      </c>
      <c r="C227" t="s">
        <v>146</v>
      </c>
      <c r="D227">
        <v>367000</v>
      </c>
    </row>
    <row r="228" spans="1:4" x14ac:dyDescent="0.3">
      <c r="A228" t="s">
        <v>29</v>
      </c>
      <c r="B228" t="s">
        <v>15</v>
      </c>
      <c r="C228" t="s">
        <v>142</v>
      </c>
      <c r="D228">
        <v>7167000</v>
      </c>
    </row>
    <row r="229" spans="1:4" x14ac:dyDescent="0.3">
      <c r="A229" t="s">
        <v>29</v>
      </c>
      <c r="B229" t="s">
        <v>15</v>
      </c>
      <c r="C229" t="s">
        <v>143</v>
      </c>
      <c r="D229">
        <v>4500000</v>
      </c>
    </row>
    <row r="230" spans="1:4" x14ac:dyDescent="0.3">
      <c r="A230" t="s">
        <v>29</v>
      </c>
      <c r="B230" t="s">
        <v>15</v>
      </c>
      <c r="C230" t="s">
        <v>144</v>
      </c>
      <c r="D230">
        <v>3000000</v>
      </c>
    </row>
    <row r="231" spans="1:4" x14ac:dyDescent="0.3">
      <c r="A231" t="s">
        <v>29</v>
      </c>
      <c r="B231" t="s">
        <v>15</v>
      </c>
      <c r="C231" t="s">
        <v>145</v>
      </c>
      <c r="D231">
        <v>493000</v>
      </c>
    </row>
    <row r="232" spans="1:4" x14ac:dyDescent="0.3">
      <c r="A232" t="s">
        <v>29</v>
      </c>
      <c r="B232" t="s">
        <v>15</v>
      </c>
      <c r="C232" t="s">
        <v>48</v>
      </c>
      <c r="D232">
        <v>400000</v>
      </c>
    </row>
    <row r="233" spans="1:4" x14ac:dyDescent="0.3">
      <c r="A233" t="s">
        <v>29</v>
      </c>
      <c r="B233" t="s">
        <v>15</v>
      </c>
      <c r="C233" t="s">
        <v>49</v>
      </c>
      <c r="D233">
        <v>0</v>
      </c>
    </row>
    <row r="234" spans="1:4" x14ac:dyDescent="0.3">
      <c r="A234" t="s">
        <v>29</v>
      </c>
      <c r="B234" t="s">
        <v>15</v>
      </c>
      <c r="C234" t="s">
        <v>146</v>
      </c>
      <c r="D234">
        <v>174000</v>
      </c>
    </row>
    <row r="235" spans="1:4" x14ac:dyDescent="0.3">
      <c r="A235" t="s">
        <v>30</v>
      </c>
      <c r="B235" t="s">
        <v>15</v>
      </c>
      <c r="C235" t="s">
        <v>142</v>
      </c>
      <c r="D235">
        <v>4410000</v>
      </c>
    </row>
    <row r="236" spans="1:4" x14ac:dyDescent="0.3">
      <c r="A236" t="s">
        <v>30</v>
      </c>
      <c r="B236" t="s">
        <v>15</v>
      </c>
      <c r="C236" t="s">
        <v>143</v>
      </c>
      <c r="D236">
        <v>5200000</v>
      </c>
    </row>
    <row r="237" spans="1:4" x14ac:dyDescent="0.3">
      <c r="A237" t="s">
        <v>30</v>
      </c>
      <c r="B237" t="s">
        <v>15</v>
      </c>
      <c r="C237" t="s">
        <v>144</v>
      </c>
      <c r="D237">
        <v>3000000</v>
      </c>
    </row>
    <row r="238" spans="1:4" x14ac:dyDescent="0.3">
      <c r="A238" t="s">
        <v>30</v>
      </c>
      <c r="B238" t="s">
        <v>15</v>
      </c>
      <c r="C238" t="s">
        <v>145</v>
      </c>
      <c r="D238">
        <v>533000</v>
      </c>
    </row>
    <row r="239" spans="1:4" x14ac:dyDescent="0.3">
      <c r="A239" t="s">
        <v>30</v>
      </c>
      <c r="B239" t="s">
        <v>15</v>
      </c>
      <c r="C239" t="s">
        <v>48</v>
      </c>
      <c r="D239">
        <v>0</v>
      </c>
    </row>
    <row r="240" spans="1:4" x14ac:dyDescent="0.3">
      <c r="A240" t="s">
        <v>30</v>
      </c>
      <c r="B240" t="s">
        <v>15</v>
      </c>
      <c r="C240" t="s">
        <v>49</v>
      </c>
      <c r="D240">
        <v>0</v>
      </c>
    </row>
    <row r="241" spans="1:4" x14ac:dyDescent="0.3">
      <c r="A241" t="s">
        <v>30</v>
      </c>
      <c r="B241" t="s">
        <v>15</v>
      </c>
      <c r="C241" t="s">
        <v>146</v>
      </c>
      <c r="D241">
        <v>199000</v>
      </c>
    </row>
    <row r="242" spans="1:4" x14ac:dyDescent="0.3">
      <c r="A242" t="s">
        <v>31</v>
      </c>
      <c r="B242" t="s">
        <v>15</v>
      </c>
      <c r="C242" t="s">
        <v>142</v>
      </c>
      <c r="D242">
        <v>6118000</v>
      </c>
    </row>
    <row r="243" spans="1:4" x14ac:dyDescent="0.3">
      <c r="A243" t="s">
        <v>31</v>
      </c>
      <c r="B243" t="s">
        <v>15</v>
      </c>
      <c r="C243" t="s">
        <v>143</v>
      </c>
      <c r="D243">
        <v>5200000</v>
      </c>
    </row>
    <row r="244" spans="1:4" x14ac:dyDescent="0.3">
      <c r="A244" t="s">
        <v>31</v>
      </c>
      <c r="B244" t="s">
        <v>15</v>
      </c>
      <c r="C244" t="s">
        <v>144</v>
      </c>
      <c r="D244">
        <v>3000000</v>
      </c>
    </row>
    <row r="245" spans="1:4" x14ac:dyDescent="0.3">
      <c r="A245" t="s">
        <v>31</v>
      </c>
      <c r="B245" t="s">
        <v>15</v>
      </c>
      <c r="C245" t="s">
        <v>145</v>
      </c>
      <c r="D245">
        <v>639000</v>
      </c>
    </row>
    <row r="246" spans="1:4" x14ac:dyDescent="0.3">
      <c r="A246" t="s">
        <v>31</v>
      </c>
      <c r="B246" t="s">
        <v>15</v>
      </c>
      <c r="C246" t="s">
        <v>48</v>
      </c>
      <c r="D246">
        <v>0</v>
      </c>
    </row>
    <row r="247" spans="1:4" x14ac:dyDescent="0.3">
      <c r="A247" t="s">
        <v>31</v>
      </c>
      <c r="B247" t="s">
        <v>15</v>
      </c>
      <c r="C247" t="s">
        <v>49</v>
      </c>
      <c r="D247">
        <v>250000</v>
      </c>
    </row>
    <row r="248" spans="1:4" x14ac:dyDescent="0.3">
      <c r="A248" t="s">
        <v>31</v>
      </c>
      <c r="B248" t="s">
        <v>15</v>
      </c>
      <c r="C248" t="s">
        <v>146</v>
      </c>
      <c r="D248">
        <v>179000</v>
      </c>
    </row>
    <row r="249" spans="1:4" x14ac:dyDescent="0.3">
      <c r="A249" t="s">
        <v>32</v>
      </c>
      <c r="B249" t="s">
        <v>15</v>
      </c>
      <c r="C249" t="s">
        <v>142</v>
      </c>
      <c r="D249">
        <v>7214000</v>
      </c>
    </row>
    <row r="250" spans="1:4" x14ac:dyDescent="0.3">
      <c r="A250" t="s">
        <v>32</v>
      </c>
      <c r="B250" t="s">
        <v>15</v>
      </c>
      <c r="C250" t="s">
        <v>143</v>
      </c>
      <c r="D250">
        <v>5200000</v>
      </c>
    </row>
    <row r="251" spans="1:4" x14ac:dyDescent="0.3">
      <c r="A251" t="s">
        <v>32</v>
      </c>
      <c r="B251" t="s">
        <v>15</v>
      </c>
      <c r="C251" t="s">
        <v>144</v>
      </c>
      <c r="D251">
        <v>3000000</v>
      </c>
    </row>
    <row r="252" spans="1:4" x14ac:dyDescent="0.3">
      <c r="A252" t="s">
        <v>32</v>
      </c>
      <c r="B252" t="s">
        <v>15</v>
      </c>
      <c r="C252" t="s">
        <v>145</v>
      </c>
      <c r="D252">
        <v>508000</v>
      </c>
    </row>
    <row r="253" spans="1:4" x14ac:dyDescent="0.3">
      <c r="A253" t="s">
        <v>32</v>
      </c>
      <c r="B253" t="s">
        <v>15</v>
      </c>
      <c r="C253" t="s">
        <v>48</v>
      </c>
      <c r="D253">
        <v>0</v>
      </c>
    </row>
    <row r="254" spans="1:4" x14ac:dyDescent="0.3">
      <c r="A254" t="s">
        <v>32</v>
      </c>
      <c r="B254" t="s">
        <v>15</v>
      </c>
      <c r="C254" t="s">
        <v>49</v>
      </c>
      <c r="D254">
        <v>0</v>
      </c>
    </row>
    <row r="255" spans="1:4" x14ac:dyDescent="0.3">
      <c r="A255" t="s">
        <v>32</v>
      </c>
      <c r="B255" t="s">
        <v>15</v>
      </c>
      <c r="C255" t="s">
        <v>146</v>
      </c>
      <c r="D255">
        <v>361000</v>
      </c>
    </row>
    <row r="256" spans="1:4" x14ac:dyDescent="0.3">
      <c r="A256" t="s">
        <v>33</v>
      </c>
      <c r="B256" t="s">
        <v>15</v>
      </c>
      <c r="C256" t="s">
        <v>142</v>
      </c>
      <c r="D256">
        <v>6865000</v>
      </c>
    </row>
    <row r="257" spans="1:4" x14ac:dyDescent="0.3">
      <c r="A257" t="s">
        <v>33</v>
      </c>
      <c r="B257" t="s">
        <v>15</v>
      </c>
      <c r="C257" t="s">
        <v>143</v>
      </c>
      <c r="D257">
        <v>5200000</v>
      </c>
    </row>
    <row r="258" spans="1:4" x14ac:dyDescent="0.3">
      <c r="A258" t="s">
        <v>33</v>
      </c>
      <c r="B258" t="s">
        <v>15</v>
      </c>
      <c r="C258" t="s">
        <v>144</v>
      </c>
      <c r="D258">
        <v>3000000</v>
      </c>
    </row>
    <row r="259" spans="1:4" x14ac:dyDescent="0.3">
      <c r="A259" t="s">
        <v>33</v>
      </c>
      <c r="B259" t="s">
        <v>15</v>
      </c>
      <c r="C259" t="s">
        <v>145</v>
      </c>
      <c r="D259">
        <v>609000</v>
      </c>
    </row>
    <row r="260" spans="1:4" x14ac:dyDescent="0.3">
      <c r="A260" t="s">
        <v>33</v>
      </c>
      <c r="B260" t="s">
        <v>15</v>
      </c>
      <c r="C260" t="s">
        <v>48</v>
      </c>
      <c r="D260">
        <v>0</v>
      </c>
    </row>
    <row r="261" spans="1:4" x14ac:dyDescent="0.3">
      <c r="A261" t="s">
        <v>33</v>
      </c>
      <c r="B261" t="s">
        <v>15</v>
      </c>
      <c r="C261" t="s">
        <v>49</v>
      </c>
      <c r="D261">
        <v>0</v>
      </c>
    </row>
    <row r="262" spans="1:4" x14ac:dyDescent="0.3">
      <c r="A262" t="s">
        <v>33</v>
      </c>
      <c r="B262" t="s">
        <v>15</v>
      </c>
      <c r="C262" t="s">
        <v>146</v>
      </c>
      <c r="D262">
        <v>270000</v>
      </c>
    </row>
    <row r="263" spans="1:4" x14ac:dyDescent="0.3">
      <c r="A263" t="s">
        <v>34</v>
      </c>
      <c r="B263" t="s">
        <v>15</v>
      </c>
      <c r="C263" t="s">
        <v>142</v>
      </c>
      <c r="D263">
        <v>7157000</v>
      </c>
    </row>
    <row r="264" spans="1:4" x14ac:dyDescent="0.3">
      <c r="A264" t="s">
        <v>34</v>
      </c>
      <c r="B264" t="s">
        <v>15</v>
      </c>
      <c r="C264" t="s">
        <v>143</v>
      </c>
      <c r="D264">
        <v>5200000</v>
      </c>
    </row>
    <row r="265" spans="1:4" x14ac:dyDescent="0.3">
      <c r="A265" t="s">
        <v>34</v>
      </c>
      <c r="B265" t="s">
        <v>15</v>
      </c>
      <c r="C265" t="s">
        <v>144</v>
      </c>
      <c r="D265">
        <v>3000000</v>
      </c>
    </row>
    <row r="266" spans="1:4" x14ac:dyDescent="0.3">
      <c r="A266" t="s">
        <v>34</v>
      </c>
      <c r="B266" t="s">
        <v>15</v>
      </c>
      <c r="C266" t="s">
        <v>145</v>
      </c>
      <c r="D266">
        <v>574000</v>
      </c>
    </row>
    <row r="267" spans="1:4" x14ac:dyDescent="0.3">
      <c r="A267" t="s">
        <v>34</v>
      </c>
      <c r="B267" t="s">
        <v>15</v>
      </c>
      <c r="C267" t="s">
        <v>48</v>
      </c>
      <c r="D267">
        <v>200000</v>
      </c>
    </row>
    <row r="268" spans="1:4" x14ac:dyDescent="0.3">
      <c r="A268" t="s">
        <v>34</v>
      </c>
      <c r="B268" t="s">
        <v>15</v>
      </c>
      <c r="C268" t="s">
        <v>49</v>
      </c>
      <c r="D268">
        <v>1200000</v>
      </c>
    </row>
    <row r="269" spans="1:4" x14ac:dyDescent="0.3">
      <c r="A269" t="s">
        <v>34</v>
      </c>
      <c r="B269" t="s">
        <v>15</v>
      </c>
      <c r="C269" t="s">
        <v>146</v>
      </c>
      <c r="D269">
        <v>253000</v>
      </c>
    </row>
    <row r="270" spans="1:4" x14ac:dyDescent="0.3">
      <c r="A270" t="s">
        <v>35</v>
      </c>
      <c r="B270" t="s">
        <v>15</v>
      </c>
      <c r="C270" t="s">
        <v>142</v>
      </c>
      <c r="D270">
        <v>6703000</v>
      </c>
    </row>
    <row r="271" spans="1:4" x14ac:dyDescent="0.3">
      <c r="A271" t="s">
        <v>35</v>
      </c>
      <c r="B271" t="s">
        <v>15</v>
      </c>
      <c r="C271" t="s">
        <v>143</v>
      </c>
      <c r="D271">
        <v>5200000</v>
      </c>
    </row>
    <row r="272" spans="1:4" x14ac:dyDescent="0.3">
      <c r="A272" t="s">
        <v>35</v>
      </c>
      <c r="B272" t="s">
        <v>15</v>
      </c>
      <c r="C272" t="s">
        <v>144</v>
      </c>
      <c r="D272">
        <v>3000000</v>
      </c>
    </row>
    <row r="273" spans="1:4" x14ac:dyDescent="0.3">
      <c r="A273" t="s">
        <v>35</v>
      </c>
      <c r="B273" t="s">
        <v>15</v>
      </c>
      <c r="C273" t="s">
        <v>145</v>
      </c>
      <c r="D273">
        <v>763000</v>
      </c>
    </row>
    <row r="274" spans="1:4" x14ac:dyDescent="0.3">
      <c r="A274" t="s">
        <v>35</v>
      </c>
      <c r="B274" t="s">
        <v>15</v>
      </c>
      <c r="C274" t="s">
        <v>48</v>
      </c>
      <c r="D274">
        <v>200000</v>
      </c>
    </row>
    <row r="275" spans="1:4" x14ac:dyDescent="0.3">
      <c r="A275" t="s">
        <v>35</v>
      </c>
      <c r="B275" t="s">
        <v>15</v>
      </c>
      <c r="C275" t="s">
        <v>49</v>
      </c>
      <c r="D275">
        <v>0</v>
      </c>
    </row>
    <row r="276" spans="1:4" x14ac:dyDescent="0.3">
      <c r="A276" t="s">
        <v>35</v>
      </c>
      <c r="B276" t="s">
        <v>15</v>
      </c>
      <c r="C276" t="s">
        <v>146</v>
      </c>
      <c r="D276">
        <v>241000</v>
      </c>
    </row>
    <row r="277" spans="1:4" x14ac:dyDescent="0.3">
      <c r="A277" t="s">
        <v>36</v>
      </c>
      <c r="B277" t="s">
        <v>15</v>
      </c>
      <c r="C277" t="s">
        <v>142</v>
      </c>
      <c r="D277">
        <v>3753000</v>
      </c>
    </row>
    <row r="278" spans="1:4" x14ac:dyDescent="0.3">
      <c r="A278" t="s">
        <v>36</v>
      </c>
      <c r="B278" t="s">
        <v>15</v>
      </c>
      <c r="C278" t="s">
        <v>143</v>
      </c>
      <c r="D278">
        <v>5200000</v>
      </c>
    </row>
    <row r="279" spans="1:4" x14ac:dyDescent="0.3">
      <c r="A279" t="s">
        <v>36</v>
      </c>
      <c r="B279" t="s">
        <v>15</v>
      </c>
      <c r="C279" t="s">
        <v>144</v>
      </c>
      <c r="D279">
        <v>3000000</v>
      </c>
    </row>
    <row r="280" spans="1:4" x14ac:dyDescent="0.3">
      <c r="A280" t="s">
        <v>36</v>
      </c>
      <c r="B280" t="s">
        <v>15</v>
      </c>
      <c r="C280" t="s">
        <v>145</v>
      </c>
      <c r="D280">
        <v>632000</v>
      </c>
    </row>
    <row r="281" spans="1:4" x14ac:dyDescent="0.3">
      <c r="A281" t="s">
        <v>36</v>
      </c>
      <c r="B281" t="s">
        <v>15</v>
      </c>
      <c r="C281" t="s">
        <v>48</v>
      </c>
      <c r="D281">
        <v>400000</v>
      </c>
    </row>
    <row r="282" spans="1:4" x14ac:dyDescent="0.3">
      <c r="A282" t="s">
        <v>36</v>
      </c>
      <c r="B282" t="s">
        <v>15</v>
      </c>
      <c r="C282" t="s">
        <v>49</v>
      </c>
      <c r="D282">
        <v>0</v>
      </c>
    </row>
    <row r="283" spans="1:4" x14ac:dyDescent="0.3">
      <c r="A283" t="s">
        <v>36</v>
      </c>
      <c r="B283" t="s">
        <v>15</v>
      </c>
      <c r="C283" t="s">
        <v>146</v>
      </c>
      <c r="D283">
        <v>205000</v>
      </c>
    </row>
    <row r="284" spans="1:4" x14ac:dyDescent="0.3">
      <c r="A284" t="s">
        <v>37</v>
      </c>
      <c r="B284" t="s">
        <v>15</v>
      </c>
      <c r="C284" t="s">
        <v>142</v>
      </c>
      <c r="D284">
        <v>7321000</v>
      </c>
    </row>
    <row r="285" spans="1:4" x14ac:dyDescent="0.3">
      <c r="A285" t="s">
        <v>37</v>
      </c>
      <c r="B285" t="s">
        <v>15</v>
      </c>
      <c r="C285" t="s">
        <v>143</v>
      </c>
      <c r="D285">
        <v>5200000</v>
      </c>
    </row>
    <row r="286" spans="1:4" x14ac:dyDescent="0.3">
      <c r="A286" t="s">
        <v>37</v>
      </c>
      <c r="B286" t="s">
        <v>15</v>
      </c>
      <c r="C286" t="s">
        <v>144</v>
      </c>
      <c r="D286">
        <v>3000000</v>
      </c>
    </row>
    <row r="287" spans="1:4" x14ac:dyDescent="0.3">
      <c r="A287" t="s">
        <v>37</v>
      </c>
      <c r="B287" t="s">
        <v>15</v>
      </c>
      <c r="C287" t="s">
        <v>145</v>
      </c>
      <c r="D287">
        <v>625000</v>
      </c>
    </row>
    <row r="288" spans="1:4" x14ac:dyDescent="0.3">
      <c r="A288" t="s">
        <v>37</v>
      </c>
      <c r="B288" t="s">
        <v>15</v>
      </c>
      <c r="C288" t="s">
        <v>48</v>
      </c>
      <c r="D288">
        <v>0</v>
      </c>
    </row>
    <row r="289" spans="1:4" x14ac:dyDescent="0.3">
      <c r="A289" t="s">
        <v>37</v>
      </c>
      <c r="B289" t="s">
        <v>15</v>
      </c>
      <c r="C289" t="s">
        <v>49</v>
      </c>
      <c r="D289">
        <v>0</v>
      </c>
    </row>
    <row r="290" spans="1:4" x14ac:dyDescent="0.3">
      <c r="A290" t="s">
        <v>37</v>
      </c>
      <c r="B290" t="s">
        <v>15</v>
      </c>
      <c r="C290" t="s">
        <v>146</v>
      </c>
      <c r="D290">
        <v>257000</v>
      </c>
    </row>
    <row r="291" spans="1:4" x14ac:dyDescent="0.3">
      <c r="A291" t="s">
        <v>38</v>
      </c>
      <c r="B291" t="s">
        <v>15</v>
      </c>
      <c r="C291" t="s">
        <v>142</v>
      </c>
      <c r="D291">
        <v>8486000</v>
      </c>
    </row>
    <row r="292" spans="1:4" x14ac:dyDescent="0.3">
      <c r="A292" t="s">
        <v>38</v>
      </c>
      <c r="B292" t="s">
        <v>15</v>
      </c>
      <c r="C292" t="s">
        <v>143</v>
      </c>
      <c r="D292">
        <v>5200000</v>
      </c>
    </row>
    <row r="293" spans="1:4" x14ac:dyDescent="0.3">
      <c r="A293" t="s">
        <v>38</v>
      </c>
      <c r="B293" t="s">
        <v>15</v>
      </c>
      <c r="C293" t="s">
        <v>144</v>
      </c>
      <c r="D293">
        <v>3000000</v>
      </c>
    </row>
    <row r="294" spans="1:4" x14ac:dyDescent="0.3">
      <c r="A294" t="s">
        <v>38</v>
      </c>
      <c r="B294" t="s">
        <v>15</v>
      </c>
      <c r="C294" t="s">
        <v>145</v>
      </c>
      <c r="D294">
        <v>504000</v>
      </c>
    </row>
    <row r="295" spans="1:4" x14ac:dyDescent="0.3">
      <c r="A295" t="s">
        <v>38</v>
      </c>
      <c r="B295" t="s">
        <v>15</v>
      </c>
      <c r="C295" t="s">
        <v>48</v>
      </c>
      <c r="D295">
        <v>0</v>
      </c>
    </row>
    <row r="296" spans="1:4" x14ac:dyDescent="0.3">
      <c r="A296" t="s">
        <v>38</v>
      </c>
      <c r="B296" t="s">
        <v>15</v>
      </c>
      <c r="C296" t="s">
        <v>49</v>
      </c>
      <c r="D296">
        <v>0</v>
      </c>
    </row>
    <row r="297" spans="1:4" x14ac:dyDescent="0.3">
      <c r="A297" t="s">
        <v>38</v>
      </c>
      <c r="B297" t="s">
        <v>15</v>
      </c>
      <c r="C297" t="s">
        <v>146</v>
      </c>
      <c r="D297">
        <v>242000</v>
      </c>
    </row>
    <row r="298" spans="1:4" x14ac:dyDescent="0.3">
      <c r="A298" t="s">
        <v>39</v>
      </c>
      <c r="B298" t="s">
        <v>15</v>
      </c>
      <c r="C298" t="s">
        <v>142</v>
      </c>
      <c r="D298">
        <v>7375000</v>
      </c>
    </row>
    <row r="299" spans="1:4" x14ac:dyDescent="0.3">
      <c r="A299" t="s">
        <v>39</v>
      </c>
      <c r="B299" t="s">
        <v>15</v>
      </c>
      <c r="C299" t="s">
        <v>143</v>
      </c>
      <c r="D299">
        <v>5200000</v>
      </c>
    </row>
    <row r="300" spans="1:4" x14ac:dyDescent="0.3">
      <c r="A300" t="s">
        <v>39</v>
      </c>
      <c r="B300" t="s">
        <v>15</v>
      </c>
      <c r="C300" t="s">
        <v>144</v>
      </c>
      <c r="D300">
        <v>3000000</v>
      </c>
    </row>
    <row r="301" spans="1:4" x14ac:dyDescent="0.3">
      <c r="A301" t="s">
        <v>39</v>
      </c>
      <c r="B301" t="s">
        <v>15</v>
      </c>
      <c r="C301" t="s">
        <v>145</v>
      </c>
      <c r="D301">
        <v>447000</v>
      </c>
    </row>
    <row r="302" spans="1:4" x14ac:dyDescent="0.3">
      <c r="A302" t="s">
        <v>39</v>
      </c>
      <c r="B302" t="s">
        <v>15</v>
      </c>
      <c r="C302" t="s">
        <v>48</v>
      </c>
      <c r="D302">
        <v>0</v>
      </c>
    </row>
    <row r="303" spans="1:4" x14ac:dyDescent="0.3">
      <c r="A303" t="s">
        <v>39</v>
      </c>
      <c r="B303" t="s">
        <v>15</v>
      </c>
      <c r="C303" t="s">
        <v>49</v>
      </c>
      <c r="D303">
        <v>0</v>
      </c>
    </row>
    <row r="304" spans="1:4" x14ac:dyDescent="0.3">
      <c r="A304" t="s">
        <v>39</v>
      </c>
      <c r="B304" t="s">
        <v>15</v>
      </c>
      <c r="C304" t="s">
        <v>146</v>
      </c>
      <c r="D304">
        <v>240000</v>
      </c>
    </row>
    <row r="305" spans="1:4" x14ac:dyDescent="0.3">
      <c r="A305" t="s">
        <v>40</v>
      </c>
      <c r="B305" t="s">
        <v>15</v>
      </c>
      <c r="C305" t="s">
        <v>142</v>
      </c>
      <c r="D305">
        <v>6692000</v>
      </c>
    </row>
    <row r="306" spans="1:4" x14ac:dyDescent="0.3">
      <c r="A306" t="s">
        <v>40</v>
      </c>
      <c r="B306" t="s">
        <v>15</v>
      </c>
      <c r="C306" t="s">
        <v>143</v>
      </c>
      <c r="D306">
        <v>5200000</v>
      </c>
    </row>
    <row r="307" spans="1:4" x14ac:dyDescent="0.3">
      <c r="A307" t="s">
        <v>40</v>
      </c>
      <c r="B307" t="s">
        <v>15</v>
      </c>
      <c r="C307" t="s">
        <v>144</v>
      </c>
      <c r="D307">
        <v>3000000</v>
      </c>
    </row>
    <row r="308" spans="1:4" x14ac:dyDescent="0.3">
      <c r="A308" t="s">
        <v>40</v>
      </c>
      <c r="B308" t="s">
        <v>15</v>
      </c>
      <c r="C308" t="s">
        <v>145</v>
      </c>
      <c r="D308">
        <v>570000</v>
      </c>
    </row>
    <row r="309" spans="1:4" x14ac:dyDescent="0.3">
      <c r="A309" t="s">
        <v>40</v>
      </c>
      <c r="B309" t="s">
        <v>15</v>
      </c>
      <c r="C309" t="s">
        <v>48</v>
      </c>
      <c r="D309">
        <v>0</v>
      </c>
    </row>
    <row r="310" spans="1:4" x14ac:dyDescent="0.3">
      <c r="A310" t="s">
        <v>40</v>
      </c>
      <c r="B310" t="s">
        <v>15</v>
      </c>
      <c r="C310" t="s">
        <v>49</v>
      </c>
      <c r="D310">
        <v>0</v>
      </c>
    </row>
    <row r="311" spans="1:4" x14ac:dyDescent="0.3">
      <c r="A311" t="s">
        <v>40</v>
      </c>
      <c r="B311" t="s">
        <v>15</v>
      </c>
      <c r="C311" t="s">
        <v>146</v>
      </c>
      <c r="D311">
        <v>352000</v>
      </c>
    </row>
    <row r="312" spans="1:4" x14ac:dyDescent="0.3">
      <c r="A312" t="s">
        <v>41</v>
      </c>
      <c r="B312" t="s">
        <v>15</v>
      </c>
      <c r="C312" t="s">
        <v>142</v>
      </c>
      <c r="D312">
        <v>7752000</v>
      </c>
    </row>
    <row r="313" spans="1:4" x14ac:dyDescent="0.3">
      <c r="A313" t="s">
        <v>41</v>
      </c>
      <c r="B313" t="s">
        <v>15</v>
      </c>
      <c r="C313" t="s">
        <v>143</v>
      </c>
      <c r="D313">
        <v>5200000</v>
      </c>
    </row>
    <row r="314" spans="1:4" x14ac:dyDescent="0.3">
      <c r="A314" t="s">
        <v>41</v>
      </c>
      <c r="B314" t="s">
        <v>15</v>
      </c>
      <c r="C314" t="s">
        <v>144</v>
      </c>
      <c r="D314">
        <v>3000000</v>
      </c>
    </row>
    <row r="315" spans="1:4" x14ac:dyDescent="0.3">
      <c r="A315" t="s">
        <v>41</v>
      </c>
      <c r="B315" t="s">
        <v>15</v>
      </c>
      <c r="C315" t="s">
        <v>145</v>
      </c>
      <c r="D315">
        <v>579000</v>
      </c>
    </row>
    <row r="316" spans="1:4" x14ac:dyDescent="0.3">
      <c r="A316" t="s">
        <v>41</v>
      </c>
      <c r="B316" t="s">
        <v>15</v>
      </c>
      <c r="C316" t="s">
        <v>48</v>
      </c>
      <c r="D316">
        <v>400000</v>
      </c>
    </row>
    <row r="317" spans="1:4" x14ac:dyDescent="0.3">
      <c r="A317" t="s">
        <v>41</v>
      </c>
      <c r="B317" t="s">
        <v>15</v>
      </c>
      <c r="C317" t="s">
        <v>49</v>
      </c>
      <c r="D317">
        <v>0</v>
      </c>
    </row>
    <row r="318" spans="1:4" x14ac:dyDescent="0.3">
      <c r="A318" t="s">
        <v>41</v>
      </c>
      <c r="B318" t="s">
        <v>15</v>
      </c>
      <c r="C318" t="s">
        <v>146</v>
      </c>
      <c r="D318">
        <v>395000</v>
      </c>
    </row>
  </sheetData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D127-5829-4754-8886-05F40FC82C1D}">
  <dimension ref="A1:Q51"/>
  <sheetViews>
    <sheetView topLeftCell="E25" zoomScale="90" zoomScaleNormal="90" workbookViewId="0">
      <selection activeCell="O27" sqref="O27"/>
    </sheetView>
  </sheetViews>
  <sheetFormatPr defaultRowHeight="14.4" x14ac:dyDescent="0.3"/>
  <cols>
    <col min="1" max="1" width="13" customWidth="1"/>
    <col min="2" max="2" width="17.21875" style="9" customWidth="1"/>
    <col min="3" max="3" width="16.109375" style="9" bestFit="1" customWidth="1"/>
    <col min="4" max="4" width="14.109375" style="9" customWidth="1"/>
    <col min="5" max="5" width="14.44140625" style="9" customWidth="1"/>
    <col min="6" max="6" width="14" style="9" customWidth="1"/>
    <col min="7" max="7" width="14.6640625" style="9" customWidth="1"/>
    <col min="8" max="8" width="14.77734375" style="9" customWidth="1"/>
    <col min="9" max="9" width="18.21875" style="9" customWidth="1"/>
    <col min="10" max="10" width="17.77734375" customWidth="1"/>
    <col min="11" max="11" width="16.6640625" customWidth="1"/>
    <col min="12" max="12" width="18.21875" customWidth="1"/>
    <col min="13" max="13" width="19.6640625" customWidth="1"/>
    <col min="14" max="14" width="21.109375" customWidth="1"/>
    <col min="15" max="15" width="20.21875" customWidth="1"/>
    <col min="16" max="16" width="18.33203125" customWidth="1"/>
    <col min="17" max="17" width="18.77734375" bestFit="1" customWidth="1"/>
  </cols>
  <sheetData>
    <row r="1" spans="1:16" ht="28.8" customHeight="1" x14ac:dyDescent="0.3">
      <c r="A1" s="27" t="s">
        <v>138</v>
      </c>
      <c r="B1" s="28" t="s">
        <v>147</v>
      </c>
      <c r="C1" s="28" t="s">
        <v>148</v>
      </c>
      <c r="D1" s="28" t="s">
        <v>149</v>
      </c>
      <c r="E1" s="28" t="s">
        <v>150</v>
      </c>
      <c r="F1" s="28" t="s">
        <v>151</v>
      </c>
      <c r="G1" s="28" t="s">
        <v>152</v>
      </c>
      <c r="H1" s="28" t="s">
        <v>62</v>
      </c>
      <c r="I1" s="28" t="s">
        <v>153</v>
      </c>
      <c r="J1" s="27" t="s">
        <v>154</v>
      </c>
      <c r="K1" s="27" t="s">
        <v>155</v>
      </c>
      <c r="M1" s="6" t="s">
        <v>162</v>
      </c>
      <c r="N1" s="13" t="s">
        <v>163</v>
      </c>
      <c r="O1" s="13" t="s">
        <v>164</v>
      </c>
      <c r="P1" s="13" t="s">
        <v>165</v>
      </c>
    </row>
    <row r="2" spans="1:16" x14ac:dyDescent="0.3">
      <c r="A2" s="24">
        <v>45292</v>
      </c>
      <c r="B2" s="25">
        <f>SUMIFS(Daily_Sales!D:D,Daily_Sales!B:B,"Renjana Utama",Daily_Sales!E:E,TEXT(Projection!$A2,"yyyy-mm"))</f>
        <v>23311000</v>
      </c>
      <c r="C2" s="25">
        <f>SUMIFS(Daily_Sales!D:D,Daily_Sales!B:B,"Renjana Kedua",Daily_Sales!E:E,TEXT(Projection!$A2,"yyyy-mm"))</f>
        <v>0</v>
      </c>
      <c r="D2" s="25">
        <f>Projection!$B2+Projection!$C2</f>
        <v>23311000</v>
      </c>
      <c r="E2" s="25">
        <f>SUMIFS(Monthly_Costs!D:D,Monthly_Costs!B:B,"Renjana Utama",Monthly_Costs!A:A,TEXT(Projection!$A2,"yyyy-mm"))</f>
        <v>18674000</v>
      </c>
      <c r="F2" s="25">
        <f>SUMIFS(Monthly_Costs!D:D,Monthly_Costs!B:B,"Renjana Kedua",Monthly_Costs!A:A,TEXT(Projection!$A2,"yyyy-mm"))</f>
        <v>0</v>
      </c>
      <c r="G2" s="25">
        <f>Projection!$E2+Projection!$F2</f>
        <v>18674000</v>
      </c>
      <c r="H2" s="25">
        <f>Projection!$D2-Projection!$G2</f>
        <v>4637000</v>
      </c>
      <c r="I2" s="25">
        <f>12000000+Projection!$H2</f>
        <v>16637000</v>
      </c>
      <c r="J2" s="25">
        <f>Projection!$B2-Projection!$E2</f>
        <v>4637000</v>
      </c>
      <c r="K2" s="26">
        <f>Projection!$C2-Projection!$F2</f>
        <v>0</v>
      </c>
      <c r="M2" s="11">
        <f>B14/Projection!$B2-1</f>
        <v>0.23491055724765131</v>
      </c>
      <c r="N2" s="11"/>
      <c r="O2" s="11">
        <f>E14/Projection!$E2-1</f>
        <v>0.14833458284245471</v>
      </c>
      <c r="P2" s="11"/>
    </row>
    <row r="3" spans="1:16" x14ac:dyDescent="0.3">
      <c r="A3" s="19">
        <f>EDATE(A2,1)</f>
        <v>45323</v>
      </c>
      <c r="B3" s="20">
        <f>SUMIFS(Daily_Sales!D:D,Daily_Sales!B:B,"Renjana Utama",Daily_Sales!E:E,TEXT(Projection!$A3,"yyyy-mm"))</f>
        <v>21807000</v>
      </c>
      <c r="C3" s="20">
        <f>SUMIFS(Daily_Sales!D:D,Daily_Sales!B:B,"Renjana Kedua",Daily_Sales!E:E,TEXT(Projection!$A3,"yyyy-mm"))</f>
        <v>0</v>
      </c>
      <c r="D3" s="20">
        <f>Projection!$B3+Projection!$C3</f>
        <v>21807000</v>
      </c>
      <c r="E3" s="20">
        <f>SUMIFS(Monthly_Costs!D:D,Monthly_Costs!B:B,"Renjana Utama",Monthly_Costs!A:A,TEXT(Projection!$A3,"yyyy-mm"))</f>
        <v>19146000</v>
      </c>
      <c r="F3" s="20">
        <f>SUMIFS(Monthly_Costs!D:D,Monthly_Costs!B:B,"Renjana Kedua",Monthly_Costs!A:A,TEXT(Projection!$A3,"yyyy-mm"))</f>
        <v>0</v>
      </c>
      <c r="G3" s="20">
        <f>Projection!$E3+Projection!$F3</f>
        <v>19146000</v>
      </c>
      <c r="H3" s="20">
        <f>Projection!$D3-Projection!$G3</f>
        <v>2661000</v>
      </c>
      <c r="I3" s="20">
        <f>I2+Projection!$H3</f>
        <v>19298000</v>
      </c>
      <c r="J3" s="20">
        <f>Projection!$B3-Projection!$E3</f>
        <v>2661000</v>
      </c>
      <c r="K3" s="21">
        <f>Projection!$C3-Projection!$F3</f>
        <v>0</v>
      </c>
      <c r="M3" s="11">
        <f>B15/Projection!$B3-1</f>
        <v>0.1933324161966341</v>
      </c>
      <c r="N3" s="11"/>
      <c r="O3" s="11">
        <f>E15/Projection!$E3-1</f>
        <v>9.2029666771127117E-2</v>
      </c>
      <c r="P3" s="11"/>
    </row>
    <row r="4" spans="1:16" x14ac:dyDescent="0.3">
      <c r="A4" s="16">
        <f t="shared" ref="A4:A25" si="0">EDATE(A3,1)</f>
        <v>45352</v>
      </c>
      <c r="B4" s="17">
        <f>SUMIFS(Daily_Sales!D:D,Daily_Sales!B:B,"Renjana Utama",Daily_Sales!E:E,TEXT(Projection!$A4,"yyyy-mm"))</f>
        <v>23568000</v>
      </c>
      <c r="C4" s="17">
        <f>SUMIFS(Daily_Sales!D:D,Daily_Sales!B:B,"Renjana Kedua",Daily_Sales!E:E,TEXT(Projection!$A4,"yyyy-mm"))</f>
        <v>0</v>
      </c>
      <c r="D4" s="17">
        <f>Projection!$B4+Projection!$C4</f>
        <v>23568000</v>
      </c>
      <c r="E4" s="17">
        <f>SUMIFS(Monthly_Costs!D:D,Monthly_Costs!B:B,"Renjana Utama",Monthly_Costs!A:A,TEXT(Projection!$A4,"yyyy-mm"))</f>
        <v>18731000</v>
      </c>
      <c r="F4" s="17">
        <f>SUMIFS(Monthly_Costs!D:D,Monthly_Costs!B:B,"Renjana Kedua",Monthly_Costs!A:A,TEXT(Projection!$A4,"yyyy-mm"))</f>
        <v>0</v>
      </c>
      <c r="G4" s="17">
        <f>Projection!$E4+Projection!$F4</f>
        <v>18731000</v>
      </c>
      <c r="H4" s="17">
        <f>Projection!$D4-Projection!$G4</f>
        <v>4837000</v>
      </c>
      <c r="I4" s="17">
        <f>I3+Projection!$H4</f>
        <v>24135000</v>
      </c>
      <c r="J4" s="17">
        <f>Projection!$B4-Projection!$E4</f>
        <v>4837000</v>
      </c>
      <c r="K4" s="18">
        <f>Projection!$C4-Projection!$F4</f>
        <v>0</v>
      </c>
      <c r="M4" s="11">
        <f>B16/Projection!$B4-1</f>
        <v>0.21215207060420904</v>
      </c>
      <c r="N4" s="11"/>
      <c r="O4" s="11">
        <f>E16/Projection!$E4-1</f>
        <v>0.12748918904489881</v>
      </c>
      <c r="P4" s="11"/>
    </row>
    <row r="5" spans="1:16" x14ac:dyDescent="0.3">
      <c r="A5" s="19">
        <f t="shared" si="0"/>
        <v>45383</v>
      </c>
      <c r="B5" s="20">
        <f>SUMIFS(Daily_Sales!D:D,Daily_Sales!B:B,"Renjana Utama",Daily_Sales!E:E,TEXT(Projection!$A5,"yyyy-mm"))</f>
        <v>21618000</v>
      </c>
      <c r="C5" s="20">
        <f>SUMIFS(Daily_Sales!D:D,Daily_Sales!B:B,"Renjana Kedua",Daily_Sales!E:E,TEXT(Projection!$A5,"yyyy-mm"))</f>
        <v>7934000</v>
      </c>
      <c r="D5" s="20">
        <f>Projection!$B5+Projection!$C5</f>
        <v>29552000</v>
      </c>
      <c r="E5" s="20">
        <f>SUMIFS(Monthly_Costs!D:D,Monthly_Costs!B:B,"Renjana Utama",Monthly_Costs!A:A,TEXT(Projection!$A5,"yyyy-mm"))</f>
        <v>17847000</v>
      </c>
      <c r="F5" s="20">
        <f>SUMIFS(Monthly_Costs!D:D,Monthly_Costs!B:B,"Renjana Kedua",Monthly_Costs!A:A,TEXT(Projection!$A5,"yyyy-mm"))</f>
        <v>12342000</v>
      </c>
      <c r="G5" s="20">
        <f>Projection!$E5+Projection!$F5</f>
        <v>30189000</v>
      </c>
      <c r="H5" s="20">
        <f>Projection!$D5-Projection!$G5</f>
        <v>-637000</v>
      </c>
      <c r="I5" s="20">
        <f>I4+Projection!$H5</f>
        <v>23498000</v>
      </c>
      <c r="J5" s="20">
        <f>Projection!$B5-Projection!$E5</f>
        <v>3771000</v>
      </c>
      <c r="K5" s="21">
        <f>Projection!$C5-Projection!$F5</f>
        <v>-4408000</v>
      </c>
      <c r="M5" s="11">
        <f>B17/Projection!$B5-1</f>
        <v>0.29808492922564533</v>
      </c>
      <c r="N5" s="11">
        <f>C17/C5-1</f>
        <v>1.5969246281825056</v>
      </c>
      <c r="O5" s="11">
        <f>E17/Projection!$E5-1</f>
        <v>0.19700790048747696</v>
      </c>
      <c r="P5" s="11">
        <f>F17/Projection!$F5-1</f>
        <v>0.29184897099335605</v>
      </c>
    </row>
    <row r="6" spans="1:16" x14ac:dyDescent="0.3">
      <c r="A6" s="16">
        <f t="shared" si="0"/>
        <v>45413</v>
      </c>
      <c r="B6" s="17">
        <f>SUMIFS(Daily_Sales!D:D,Daily_Sales!B:B,"Renjana Utama",Daily_Sales!E:E,TEXT(Projection!$A6,"yyyy-mm"))</f>
        <v>24497000</v>
      </c>
      <c r="C6" s="17">
        <f>SUMIFS(Daily_Sales!D:D,Daily_Sales!B:B,"Renjana Kedua",Daily_Sales!E:E,TEXT(Projection!$A6,"yyyy-mm"))</f>
        <v>9698000</v>
      </c>
      <c r="D6" s="17">
        <f>Projection!$B6+Projection!$C6</f>
        <v>34195000</v>
      </c>
      <c r="E6" s="17">
        <f>SUMIFS(Monthly_Costs!D:D,Monthly_Costs!B:B,"Renjana Utama",Monthly_Costs!A:A,TEXT(Projection!$A6,"yyyy-mm"))</f>
        <v>19823000</v>
      </c>
      <c r="F6" s="17">
        <f>SUMIFS(Monthly_Costs!D:D,Monthly_Costs!B:B,"Renjana Kedua",Monthly_Costs!A:A,TEXT(Projection!$A6,"yyyy-mm"))</f>
        <v>12367000</v>
      </c>
      <c r="G6" s="17">
        <f>Projection!$E6+Projection!$F6</f>
        <v>32190000</v>
      </c>
      <c r="H6" s="17">
        <f>Projection!$D6-Projection!$G6</f>
        <v>2005000</v>
      </c>
      <c r="I6" s="17">
        <f>I5+Projection!$H6</f>
        <v>25503000</v>
      </c>
      <c r="J6" s="17">
        <f>Projection!$B6-Projection!$E6</f>
        <v>4674000</v>
      </c>
      <c r="K6" s="18">
        <f>Projection!$C6-Projection!$F6</f>
        <v>-2669000</v>
      </c>
      <c r="M6" s="11">
        <f>B18/Projection!$B6-1</f>
        <v>0.22561946360778862</v>
      </c>
      <c r="N6" s="11">
        <f t="shared" ref="N6:N13" si="1">C18/C6-1</f>
        <v>1.1844710249535986</v>
      </c>
      <c r="O6" s="11">
        <f>E18/Projection!$E6-1</f>
        <v>0.17050900469151986</v>
      </c>
      <c r="P6" s="11">
        <f>F18/Projection!$F6-1</f>
        <v>0.42184846769628859</v>
      </c>
    </row>
    <row r="7" spans="1:16" x14ac:dyDescent="0.3">
      <c r="A7" s="19">
        <f t="shared" si="0"/>
        <v>45444</v>
      </c>
      <c r="B7" s="20">
        <f>SUMIFS(Daily_Sales!D:D,Daily_Sales!B:B,"Renjana Utama",Daily_Sales!E:E,TEXT(Projection!$A7,"yyyy-mm"))</f>
        <v>24032000</v>
      </c>
      <c r="C7" s="20">
        <f>SUMIFS(Daily_Sales!D:D,Daily_Sales!B:B,"Renjana Kedua",Daily_Sales!E:E,TEXT(Projection!$A7,"yyyy-mm"))</f>
        <v>11495000</v>
      </c>
      <c r="D7" s="20">
        <f>Projection!$B7+Projection!$C7</f>
        <v>35527000</v>
      </c>
      <c r="E7" s="20">
        <f>SUMIFS(Monthly_Costs!D:D,Monthly_Costs!B:B,"Renjana Utama",Monthly_Costs!A:A,TEXT(Projection!$A7,"yyyy-mm"))</f>
        <v>19435000</v>
      </c>
      <c r="F7" s="20">
        <f>SUMIFS(Monthly_Costs!D:D,Monthly_Costs!B:B,"Renjana Kedua",Monthly_Costs!A:A,TEXT(Projection!$A7,"yyyy-mm"))</f>
        <v>13435000</v>
      </c>
      <c r="G7" s="20">
        <f>Projection!$E7+Projection!$F7</f>
        <v>32870000</v>
      </c>
      <c r="H7" s="20">
        <f>Projection!$D7-Projection!$G7</f>
        <v>2657000</v>
      </c>
      <c r="I7" s="20">
        <f>I6+Projection!$H7</f>
        <v>28160000</v>
      </c>
      <c r="J7" s="20">
        <f>Projection!$B7-Projection!$E7</f>
        <v>4597000</v>
      </c>
      <c r="K7" s="21">
        <f>Projection!$C7-Projection!$F7</f>
        <v>-1940000</v>
      </c>
      <c r="M7" s="11">
        <f>B19/Projection!$B7-1</f>
        <v>0.24209387483355527</v>
      </c>
      <c r="N7" s="11">
        <f t="shared" si="1"/>
        <v>0.82705524140930842</v>
      </c>
      <c r="O7" s="11">
        <f>E19/Projection!$E7-1</f>
        <v>0.11031643941342928</v>
      </c>
      <c r="P7" s="11">
        <f>F19/Projection!$F7-1</f>
        <v>0.19888351321176034</v>
      </c>
    </row>
    <row r="8" spans="1:16" x14ac:dyDescent="0.3">
      <c r="A8" s="16">
        <f t="shared" si="0"/>
        <v>45474</v>
      </c>
      <c r="B8" s="17">
        <f>SUMIFS(Daily_Sales!D:D,Daily_Sales!B:B,"Renjana Utama",Daily_Sales!E:E,TEXT(Projection!$A8,"yyyy-mm"))</f>
        <v>25994000</v>
      </c>
      <c r="C8" s="17">
        <f>SUMIFS(Daily_Sales!D:D,Daily_Sales!B:B,"Renjana Kedua",Daily_Sales!E:E,TEXT(Projection!$A8,"yyyy-mm"))</f>
        <v>7654000</v>
      </c>
      <c r="D8" s="17">
        <f>Projection!$B8+Projection!$C8</f>
        <v>33648000</v>
      </c>
      <c r="E8" s="17">
        <f>SUMIFS(Monthly_Costs!D:D,Monthly_Costs!B:B,"Renjana Utama",Monthly_Costs!A:A,TEXT(Projection!$A8,"yyyy-mm"))</f>
        <v>20791000</v>
      </c>
      <c r="F8" s="17">
        <f>SUMIFS(Monthly_Costs!D:D,Monthly_Costs!B:B,"Renjana Kedua",Monthly_Costs!A:A,TEXT(Projection!$A8,"yyyy-mm"))</f>
        <v>11233000</v>
      </c>
      <c r="G8" s="17">
        <f>Projection!$E8+Projection!$F8</f>
        <v>32024000</v>
      </c>
      <c r="H8" s="17">
        <f>Projection!$D8-Projection!$G8</f>
        <v>1624000</v>
      </c>
      <c r="I8" s="17">
        <f>I7+Projection!$H8</f>
        <v>29784000</v>
      </c>
      <c r="J8" s="17">
        <f>Projection!$B8-Projection!$E8</f>
        <v>5203000</v>
      </c>
      <c r="K8" s="18">
        <f>Projection!$C8-Projection!$F8</f>
        <v>-3579000</v>
      </c>
      <c r="M8" s="11">
        <f>B20/Projection!$B8-1</f>
        <v>0.20908671231822717</v>
      </c>
      <c r="N8" s="11">
        <f t="shared" si="1"/>
        <v>0.60896263391690608</v>
      </c>
      <c r="O8" s="11">
        <f>E20/Projection!$E8-1</f>
        <v>8.8980809003895933E-2</v>
      </c>
      <c r="P8" s="11">
        <f>F20/Projection!$F8-1</f>
        <v>0.17421881954954155</v>
      </c>
    </row>
    <row r="9" spans="1:16" x14ac:dyDescent="0.3">
      <c r="A9" s="19">
        <f t="shared" si="0"/>
        <v>45505</v>
      </c>
      <c r="B9" s="20">
        <f>SUMIFS(Daily_Sales!D:D,Daily_Sales!B:B,"Renjana Utama",Daily_Sales!E:E,TEXT(Projection!$A9,"yyyy-mm"))</f>
        <v>20348000</v>
      </c>
      <c r="C9" s="20">
        <f>SUMIFS(Daily_Sales!D:D,Daily_Sales!B:B,"Renjana Kedua",Daily_Sales!E:E,TEXT(Projection!$A9,"yyyy-mm"))</f>
        <v>16359000</v>
      </c>
      <c r="D9" s="20">
        <f>Projection!$B9+Projection!$C9</f>
        <v>36707000</v>
      </c>
      <c r="E9" s="20">
        <f>SUMIFS(Monthly_Costs!D:D,Monthly_Costs!B:B,"Renjana Utama",Monthly_Costs!A:A,TEXT(Projection!$A9,"yyyy-mm"))</f>
        <v>17555000</v>
      </c>
      <c r="F9" s="20">
        <f>SUMIFS(Monthly_Costs!D:D,Monthly_Costs!B:B,"Renjana Kedua",Monthly_Costs!A:A,TEXT(Projection!$A9,"yyyy-mm"))</f>
        <v>13697000</v>
      </c>
      <c r="G9" s="20">
        <f>Projection!$E9+Projection!$F9</f>
        <v>31252000</v>
      </c>
      <c r="H9" s="20">
        <f>Projection!$D9-Projection!$G9</f>
        <v>5455000</v>
      </c>
      <c r="I9" s="20">
        <f>I8+Projection!$H9</f>
        <v>35239000</v>
      </c>
      <c r="J9" s="20">
        <f>Projection!$B9-Projection!$E9</f>
        <v>2793000</v>
      </c>
      <c r="K9" s="21">
        <f>Projection!$C9-Projection!$F9</f>
        <v>2662000</v>
      </c>
      <c r="M9" s="11">
        <f>B21/Projection!$B9-1</f>
        <v>0.50348928641635537</v>
      </c>
      <c r="N9" s="11">
        <f t="shared" si="1"/>
        <v>0.35588972431077703</v>
      </c>
      <c r="O9" s="11">
        <f>E21/Projection!$E9-1</f>
        <v>0.24107091996582164</v>
      </c>
      <c r="P9" s="11">
        <f>F21/Projection!$F9-1</f>
        <v>0.19756150981966858</v>
      </c>
    </row>
    <row r="10" spans="1:16" x14ac:dyDescent="0.3">
      <c r="A10" s="16">
        <f t="shared" si="0"/>
        <v>45536</v>
      </c>
      <c r="B10" s="17">
        <f>SUMIFS(Daily_Sales!D:D,Daily_Sales!B:B,"Renjana Utama",Daily_Sales!E:E,TEXT(Projection!$A10,"yyyy-mm"))</f>
        <v>25277000</v>
      </c>
      <c r="C10" s="17">
        <f>SUMIFS(Daily_Sales!D:D,Daily_Sales!B:B,"Renjana Kedua",Daily_Sales!E:E,TEXT(Projection!$A10,"yyyy-mm"))</f>
        <v>17983000</v>
      </c>
      <c r="D10" s="17">
        <f>Projection!$B10+Projection!$C10</f>
        <v>43260000</v>
      </c>
      <c r="E10" s="17">
        <f>SUMIFS(Monthly_Costs!D:D,Monthly_Costs!B:B,"Renjana Utama",Monthly_Costs!A:A,TEXT(Projection!$A10,"yyyy-mm"))</f>
        <v>19754000</v>
      </c>
      <c r="F10" s="17">
        <f>SUMIFS(Monthly_Costs!D:D,Monthly_Costs!B:B,"Renjana Kedua",Monthly_Costs!A:A,TEXT(Projection!$A10,"yyyy-mm"))</f>
        <v>14814000</v>
      </c>
      <c r="G10" s="17">
        <f>Projection!$E10+Projection!$F10</f>
        <v>34568000</v>
      </c>
      <c r="H10" s="17">
        <f>Projection!$D10-Projection!$G10</f>
        <v>8692000</v>
      </c>
      <c r="I10" s="17">
        <f>I9+Projection!$H10</f>
        <v>43931000</v>
      </c>
      <c r="J10" s="17">
        <f>Projection!$B10-Projection!$E10</f>
        <v>5523000</v>
      </c>
      <c r="K10" s="18">
        <f>Projection!$C10-Projection!$F10</f>
        <v>3169000</v>
      </c>
      <c r="M10" s="11">
        <f>B22/Projection!$B10-1</f>
        <v>0.25465838509316763</v>
      </c>
      <c r="N10" s="11">
        <f t="shared" si="1"/>
        <v>0.20691764444197291</v>
      </c>
      <c r="O10" s="11">
        <f>E22/Projection!$E10-1</f>
        <v>0.12989774222942185</v>
      </c>
      <c r="P10" s="11">
        <f>F22/Projection!$F10-1</f>
        <v>0.17672471985959226</v>
      </c>
    </row>
    <row r="11" spans="1:16" x14ac:dyDescent="0.3">
      <c r="A11" s="19">
        <f t="shared" si="0"/>
        <v>45566</v>
      </c>
      <c r="B11" s="20">
        <f>SUMIFS(Daily_Sales!D:D,Daily_Sales!B:B,"Renjana Utama",Daily_Sales!E:E,TEXT(Projection!$A11,"yyyy-mm"))</f>
        <v>27126000</v>
      </c>
      <c r="C11" s="20">
        <f>SUMIFS(Daily_Sales!D:D,Daily_Sales!B:B,"Renjana Kedua",Daily_Sales!E:E,TEXT(Projection!$A11,"yyyy-mm"))</f>
        <v>19908000</v>
      </c>
      <c r="D11" s="20">
        <f>Projection!$B11+Projection!$C11</f>
        <v>47034000</v>
      </c>
      <c r="E11" s="20">
        <f>SUMIFS(Monthly_Costs!D:D,Monthly_Costs!B:B,"Renjana Utama",Monthly_Costs!A:A,TEXT(Projection!$A11,"yyyy-mm"))</f>
        <v>19896000</v>
      </c>
      <c r="F11" s="20">
        <f>SUMIFS(Monthly_Costs!D:D,Monthly_Costs!B:B,"Renjana Kedua",Monthly_Costs!A:A,TEXT(Projection!$A11,"yyyy-mm"))</f>
        <v>14408000</v>
      </c>
      <c r="G11" s="20">
        <f>Projection!$E11+Projection!$F11</f>
        <v>34304000</v>
      </c>
      <c r="H11" s="20">
        <f>Projection!$D11-Projection!$G11</f>
        <v>12730000</v>
      </c>
      <c r="I11" s="20">
        <f>I10+Projection!$H11</f>
        <v>56661000</v>
      </c>
      <c r="J11" s="20">
        <f>Projection!$B11-Projection!$E11</f>
        <v>7230000</v>
      </c>
      <c r="K11" s="21">
        <f>Projection!$C11-Projection!$F11</f>
        <v>5500000</v>
      </c>
      <c r="M11" s="11">
        <f>B23/Projection!$B11-1</f>
        <v>0.17064808670648079</v>
      </c>
      <c r="N11" s="11">
        <f t="shared" si="1"/>
        <v>0.14546915812738592</v>
      </c>
      <c r="O11" s="11">
        <f>E23/Projection!$E11-1</f>
        <v>0.10685564937675918</v>
      </c>
      <c r="P11" s="11">
        <f>F23/Projection!$F11-1</f>
        <v>0.12867851193781243</v>
      </c>
    </row>
    <row r="12" spans="1:16" x14ac:dyDescent="0.3">
      <c r="A12" s="16">
        <f t="shared" si="0"/>
        <v>45597</v>
      </c>
      <c r="B12" s="17">
        <f>SUMIFS(Daily_Sales!D:D,Daily_Sales!B:B,"Renjana Utama",Daily_Sales!E:E,TEXT(Projection!$A12,"yyyy-mm"))</f>
        <v>26274000</v>
      </c>
      <c r="C12" s="17">
        <f>SUMIFS(Daily_Sales!D:D,Daily_Sales!B:B,"Renjana Kedua",Daily_Sales!E:E,TEXT(Projection!$A12,"yyyy-mm"))</f>
        <v>19575000</v>
      </c>
      <c r="D12" s="17">
        <f>Projection!$B12+Projection!$C12</f>
        <v>45849000</v>
      </c>
      <c r="E12" s="17">
        <f>SUMIFS(Monthly_Costs!D:D,Monthly_Costs!B:B,"Renjana Utama",Monthly_Costs!A:A,TEXT(Projection!$A12,"yyyy-mm"))</f>
        <v>20331000</v>
      </c>
      <c r="F12" s="17">
        <f>SUMIFS(Monthly_Costs!D:D,Monthly_Costs!B:B,"Renjana Kedua",Monthly_Costs!A:A,TEXT(Projection!$A12,"yyyy-mm"))</f>
        <v>15308000</v>
      </c>
      <c r="G12" s="17">
        <f>Projection!$E12+Projection!$F12</f>
        <v>35639000</v>
      </c>
      <c r="H12" s="17">
        <f>Projection!$D12-Projection!$G12</f>
        <v>10210000</v>
      </c>
      <c r="I12" s="17">
        <f>I11+Projection!$H12</f>
        <v>66871000</v>
      </c>
      <c r="J12" s="17">
        <f>Projection!$B12-Projection!$E12</f>
        <v>5943000</v>
      </c>
      <c r="K12" s="18">
        <f>Projection!$C12-Projection!$F12</f>
        <v>4267000</v>
      </c>
      <c r="M12" s="11">
        <f>B24/Projection!$B12-1</f>
        <v>0.16868386998553708</v>
      </c>
      <c r="N12" s="11">
        <f t="shared" si="1"/>
        <v>0.15432950191570871</v>
      </c>
      <c r="O12" s="11">
        <f>E24/Projection!$E12-1</f>
        <v>0.10019182529142689</v>
      </c>
      <c r="P12" s="11">
        <f>F24/Projection!$F12-1</f>
        <v>3.3054611967598735E-2</v>
      </c>
    </row>
    <row r="13" spans="1:16" x14ac:dyDescent="0.3">
      <c r="A13" s="19">
        <f t="shared" si="0"/>
        <v>45627</v>
      </c>
      <c r="B13" s="20">
        <f>SUMIFS(Daily_Sales!D:D,Daily_Sales!B:B,"Renjana Utama",Daily_Sales!E:E,TEXT(Projection!$A13,"yyyy-mm"))</f>
        <v>33596000</v>
      </c>
      <c r="C13" s="20">
        <f>SUMIFS(Daily_Sales!D:D,Daily_Sales!B:B,"Renjana Kedua",Daily_Sales!E:E,TEXT(Projection!$A13,"yyyy-mm"))</f>
        <v>19798000</v>
      </c>
      <c r="D13" s="20">
        <f>Projection!$B13+Projection!$C13</f>
        <v>53394000</v>
      </c>
      <c r="E13" s="20">
        <f>SUMIFS(Monthly_Costs!D:D,Monthly_Costs!B:B,"Renjana Utama",Monthly_Costs!A:A,TEXT(Projection!$A13,"yyyy-mm"))</f>
        <v>24525000</v>
      </c>
      <c r="F13" s="20">
        <f>SUMIFS(Monthly_Costs!D:D,Monthly_Costs!B:B,"Renjana Kedua",Monthly_Costs!A:A,TEXT(Projection!$A13,"yyyy-mm"))</f>
        <v>15734000</v>
      </c>
      <c r="G13" s="20">
        <f>Projection!$E13+Projection!$F13</f>
        <v>40259000</v>
      </c>
      <c r="H13" s="20">
        <f>Projection!$D13-Projection!$G13</f>
        <v>13135000</v>
      </c>
      <c r="I13" s="20">
        <f>I12+Projection!$H13</f>
        <v>80006000</v>
      </c>
      <c r="J13" s="20">
        <f>Projection!$B13-Projection!$E13</f>
        <v>9071000</v>
      </c>
      <c r="K13" s="21">
        <f>Projection!$C13-Projection!$F13</f>
        <v>4064000</v>
      </c>
      <c r="M13" s="11">
        <f>B25/Projection!$B13-1</f>
        <v>0.18755208953446845</v>
      </c>
      <c r="N13" s="11">
        <f t="shared" si="1"/>
        <v>0.171936559248409</v>
      </c>
      <c r="O13" s="11">
        <f>E25/Projection!$E13-1</f>
        <v>5.5535168195718576E-2</v>
      </c>
      <c r="P13" s="11">
        <f>F25/Projection!$F13-1</f>
        <v>0.10118215329858904</v>
      </c>
    </row>
    <row r="14" spans="1:16" x14ac:dyDescent="0.3">
      <c r="A14" s="16">
        <f t="shared" si="0"/>
        <v>45658</v>
      </c>
      <c r="B14" s="17">
        <f>SUMIFS(Daily_Sales!D:D,Daily_Sales!B:B,"Renjana Utama",Daily_Sales!E:E,TEXT(Projection!$A14,"yyyy-mm"))</f>
        <v>28787000</v>
      </c>
      <c r="C14" s="17">
        <f>SUMIFS(Daily_Sales!D:D,Daily_Sales!B:B,"Renjana Kedua",Daily_Sales!E:E,TEXT(Projection!$A14,"yyyy-mm"))</f>
        <v>14331000</v>
      </c>
      <c r="D14" s="17">
        <f>Projection!$B14+Projection!$C14</f>
        <v>43118000</v>
      </c>
      <c r="E14" s="17">
        <f>SUMIFS(Monthly_Costs!D:D,Monthly_Costs!B:B,"Renjana Utama",Monthly_Costs!A:A,TEXT(Projection!$A14,"yyyy-mm"))</f>
        <v>21444000</v>
      </c>
      <c r="F14" s="17">
        <f>SUMIFS(Monthly_Costs!D:D,Monthly_Costs!B:B,"Renjana Kedua",Monthly_Costs!A:A,TEXT(Projection!$A14,"yyyy-mm"))</f>
        <v>13342000</v>
      </c>
      <c r="G14" s="17">
        <f>Projection!$E14+Projection!$F14</f>
        <v>34786000</v>
      </c>
      <c r="H14" s="17">
        <f>Projection!$D14-Projection!$G14</f>
        <v>8332000</v>
      </c>
      <c r="I14" s="17">
        <f>I13+Projection!$H14</f>
        <v>88338000</v>
      </c>
      <c r="J14" s="17">
        <f>Projection!$B14-Projection!$E14</f>
        <v>7343000</v>
      </c>
      <c r="K14" s="18">
        <f>Projection!$C14-Projection!$F14</f>
        <v>989000</v>
      </c>
    </row>
    <row r="15" spans="1:16" x14ac:dyDescent="0.3">
      <c r="A15" s="19">
        <f t="shared" si="0"/>
        <v>45689</v>
      </c>
      <c r="B15" s="20">
        <f>SUMIFS(Daily_Sales!D:D,Daily_Sales!B:B,"Renjana Utama",Daily_Sales!E:E,TEXT(Projection!$A15,"yyyy-mm"))</f>
        <v>26023000</v>
      </c>
      <c r="C15" s="20">
        <f>SUMIFS(Daily_Sales!D:D,Daily_Sales!B:B,"Renjana Kedua",Daily_Sales!E:E,TEXT(Projection!$A15,"yyyy-mm"))</f>
        <v>18588000</v>
      </c>
      <c r="D15" s="20">
        <f>Projection!$B15+Projection!$C15</f>
        <v>44611000</v>
      </c>
      <c r="E15" s="20">
        <f>SUMIFS(Monthly_Costs!D:D,Monthly_Costs!B:B,"Renjana Utama",Monthly_Costs!A:A,TEXT(Projection!$A15,"yyyy-mm"))</f>
        <v>20908000</v>
      </c>
      <c r="F15" s="20">
        <f>SUMIFS(Monthly_Costs!D:D,Monthly_Costs!B:B,"Renjana Kedua",Monthly_Costs!A:A,TEXT(Projection!$A15,"yyyy-mm"))</f>
        <v>15386000</v>
      </c>
      <c r="G15" s="20">
        <f>Projection!$E15+Projection!$F15</f>
        <v>36294000</v>
      </c>
      <c r="H15" s="20">
        <f>Projection!$D15-Projection!$G15</f>
        <v>8317000</v>
      </c>
      <c r="I15" s="20">
        <f>I14+Projection!$H15</f>
        <v>96655000</v>
      </c>
      <c r="J15" s="20">
        <f>Projection!$B15-Projection!$E15</f>
        <v>5115000</v>
      </c>
      <c r="K15" s="21">
        <f>Projection!$C15-Projection!$F15</f>
        <v>3202000</v>
      </c>
      <c r="M15" s="66" t="s">
        <v>166</v>
      </c>
      <c r="N15" s="66"/>
      <c r="O15" s="12">
        <f>AVERAGE(M2:M13)</f>
        <v>0.24169264514747665</v>
      </c>
    </row>
    <row r="16" spans="1:16" x14ac:dyDescent="0.3">
      <c r="A16" s="16">
        <f t="shared" si="0"/>
        <v>45717</v>
      </c>
      <c r="B16" s="17">
        <f>SUMIFS(Daily_Sales!D:D,Daily_Sales!B:B,"Renjana Utama",Daily_Sales!E:E,TEXT(Projection!$A16,"yyyy-mm"))</f>
        <v>28568000</v>
      </c>
      <c r="C16" s="17">
        <f>SUMIFS(Daily_Sales!D:D,Daily_Sales!B:B,"Renjana Kedua",Daily_Sales!E:E,TEXT(Projection!$A16,"yyyy-mm"))</f>
        <v>21933000</v>
      </c>
      <c r="D16" s="17">
        <f>Projection!$B16+Projection!$C16</f>
        <v>50501000</v>
      </c>
      <c r="E16" s="17">
        <f>SUMIFS(Monthly_Costs!D:D,Monthly_Costs!B:B,"Renjana Utama",Monthly_Costs!A:A,TEXT(Projection!$A16,"yyyy-mm"))</f>
        <v>21119000</v>
      </c>
      <c r="F16" s="17">
        <f>SUMIFS(Monthly_Costs!D:D,Monthly_Costs!B:B,"Renjana Kedua",Monthly_Costs!A:A,TEXT(Projection!$A16,"yyyy-mm"))</f>
        <v>16283000</v>
      </c>
      <c r="G16" s="17">
        <f>Projection!$E16+Projection!$F16</f>
        <v>37402000</v>
      </c>
      <c r="H16" s="17">
        <f>Projection!$D16-Projection!$G16</f>
        <v>13099000</v>
      </c>
      <c r="I16" s="17">
        <f>I15+Projection!$H16</f>
        <v>109754000</v>
      </c>
      <c r="J16" s="17">
        <f>Projection!$B16-Projection!$E16</f>
        <v>7449000</v>
      </c>
      <c r="K16" s="18">
        <f>Projection!$C16-Projection!$F16</f>
        <v>5650000</v>
      </c>
      <c r="M16" s="66" t="s">
        <v>167</v>
      </c>
      <c r="N16" s="66"/>
      <c r="O16" s="12">
        <f>AVERAGE(N10:N13)</f>
        <v>0.16966321593336914</v>
      </c>
    </row>
    <row r="17" spans="1:17" x14ac:dyDescent="0.3">
      <c r="A17" s="19">
        <f t="shared" si="0"/>
        <v>45748</v>
      </c>
      <c r="B17" s="20">
        <f>SUMIFS(Daily_Sales!D:D,Daily_Sales!B:B,"Renjana Utama",Daily_Sales!E:E,TEXT(Projection!$A17,"yyyy-mm"))</f>
        <v>28062000</v>
      </c>
      <c r="C17" s="20">
        <f>SUMIFS(Daily_Sales!D:D,Daily_Sales!B:B,"Renjana Kedua",Daily_Sales!E:E,TEXT(Projection!$A17,"yyyy-mm"))</f>
        <v>20604000</v>
      </c>
      <c r="D17" s="20">
        <f>Projection!$B17+Projection!$C17</f>
        <v>48666000</v>
      </c>
      <c r="E17" s="20">
        <f>SUMIFS(Monthly_Costs!D:D,Monthly_Costs!B:B,"Renjana Utama",Monthly_Costs!A:A,TEXT(Projection!$A17,"yyyy-mm"))</f>
        <v>21363000</v>
      </c>
      <c r="F17" s="20">
        <f>SUMIFS(Monthly_Costs!D:D,Monthly_Costs!B:B,"Renjana Kedua",Monthly_Costs!A:A,TEXT(Projection!$A17,"yyyy-mm"))</f>
        <v>15944000</v>
      </c>
      <c r="G17" s="20">
        <f>Projection!$E17+Projection!$F17</f>
        <v>37307000</v>
      </c>
      <c r="H17" s="20">
        <f>Projection!$D17-Projection!$G17</f>
        <v>11359000</v>
      </c>
      <c r="I17" s="20">
        <f>I16+Projection!$H17</f>
        <v>121113000</v>
      </c>
      <c r="J17" s="20">
        <f>Projection!$B17-Projection!$E17</f>
        <v>6699000</v>
      </c>
      <c r="K17" s="21">
        <f>Projection!$C17-Projection!$F17</f>
        <v>4660000</v>
      </c>
      <c r="M17" s="66" t="s">
        <v>168</v>
      </c>
      <c r="N17" s="66"/>
      <c r="O17" s="12">
        <f>AVERAGE(O2:O13)</f>
        <v>0.1306849081094959</v>
      </c>
    </row>
    <row r="18" spans="1:17" x14ac:dyDescent="0.3">
      <c r="A18" s="16">
        <f t="shared" si="0"/>
        <v>45778</v>
      </c>
      <c r="B18" s="17">
        <f>SUMIFS(Daily_Sales!D:D,Daily_Sales!B:B,"Renjana Utama",Daily_Sales!E:E,TEXT(Projection!$A18,"yyyy-mm"))</f>
        <v>30024000</v>
      </c>
      <c r="C18" s="17">
        <f>SUMIFS(Daily_Sales!D:D,Daily_Sales!B:B,"Renjana Kedua",Daily_Sales!E:E,TEXT(Projection!$A18,"yyyy-mm"))</f>
        <v>21185000</v>
      </c>
      <c r="D18" s="17">
        <f>Projection!$B18+Projection!$C18</f>
        <v>51209000</v>
      </c>
      <c r="E18" s="17">
        <f>SUMIFS(Monthly_Costs!D:D,Monthly_Costs!B:B,"Renjana Utama",Monthly_Costs!A:A,TEXT(Projection!$A18,"yyyy-mm"))</f>
        <v>23203000</v>
      </c>
      <c r="F18" s="17">
        <f>SUMIFS(Monthly_Costs!D:D,Monthly_Costs!B:B,"Renjana Kedua",Monthly_Costs!A:A,TEXT(Projection!$A18,"yyyy-mm"))</f>
        <v>17584000</v>
      </c>
      <c r="G18" s="17">
        <f>Projection!$E18+Projection!$F18</f>
        <v>40787000</v>
      </c>
      <c r="H18" s="17">
        <f>Projection!$D18-Projection!$G18</f>
        <v>10422000</v>
      </c>
      <c r="I18" s="17">
        <f>I17+Projection!$H18</f>
        <v>131535000</v>
      </c>
      <c r="J18" s="17">
        <f>Projection!$B18-Projection!$E18</f>
        <v>6821000</v>
      </c>
      <c r="K18" s="18">
        <f>Projection!$C18-Projection!$F18</f>
        <v>3601000</v>
      </c>
      <c r="M18" s="66" t="s">
        <v>169</v>
      </c>
      <c r="N18" s="66"/>
      <c r="O18" s="12">
        <f>AVERAGE(P10:P13)</f>
        <v>0.10990999926589812</v>
      </c>
    </row>
    <row r="19" spans="1:17" x14ac:dyDescent="0.3">
      <c r="A19" s="19">
        <f t="shared" si="0"/>
        <v>45809</v>
      </c>
      <c r="B19" s="20">
        <f>SUMIFS(Daily_Sales!D:D,Daily_Sales!B:B,"Renjana Utama",Daily_Sales!E:E,TEXT(Projection!$A19,"yyyy-mm"))</f>
        <v>29850000</v>
      </c>
      <c r="C19" s="20">
        <f>SUMIFS(Daily_Sales!D:D,Daily_Sales!B:B,"Renjana Kedua",Daily_Sales!E:E,TEXT(Projection!$A19,"yyyy-mm"))</f>
        <v>21002000</v>
      </c>
      <c r="D19" s="20">
        <f>Projection!$B19+Projection!$C19</f>
        <v>50852000</v>
      </c>
      <c r="E19" s="20">
        <f>SUMIFS(Monthly_Costs!D:D,Monthly_Costs!B:B,"Renjana Utama",Monthly_Costs!A:A,TEXT(Projection!$A19,"yyyy-mm"))</f>
        <v>21579000</v>
      </c>
      <c r="F19" s="20">
        <f>SUMIFS(Monthly_Costs!D:D,Monthly_Costs!B:B,"Renjana Kedua",Monthly_Costs!A:A,TEXT(Projection!$A19,"yyyy-mm"))</f>
        <v>16107000</v>
      </c>
      <c r="G19" s="20">
        <f>Projection!$E19+Projection!$F19</f>
        <v>37686000</v>
      </c>
      <c r="H19" s="20">
        <f>Projection!$D19-Projection!$G19</f>
        <v>13166000</v>
      </c>
      <c r="I19" s="20">
        <f>I18+Projection!$H19</f>
        <v>144701000</v>
      </c>
      <c r="J19" s="20">
        <f>Projection!$B19-Projection!$E19</f>
        <v>8271000</v>
      </c>
      <c r="K19" s="21">
        <f>Projection!$C19-Projection!$F19</f>
        <v>4895000</v>
      </c>
    </row>
    <row r="20" spans="1:17" x14ac:dyDescent="0.3">
      <c r="A20" s="16">
        <f t="shared" si="0"/>
        <v>45839</v>
      </c>
      <c r="B20" s="17">
        <f>SUMIFS(Daily_Sales!D:D,Daily_Sales!B:B,"Renjana Utama",Daily_Sales!E:E,TEXT(Projection!$A20,"yyyy-mm"))</f>
        <v>31429000</v>
      </c>
      <c r="C20" s="17">
        <f>SUMIFS(Daily_Sales!D:D,Daily_Sales!B:B,"Renjana Kedua",Daily_Sales!E:E,TEXT(Projection!$A20,"yyyy-mm"))</f>
        <v>12315000</v>
      </c>
      <c r="D20" s="17">
        <f>Projection!$B20+Projection!$C20</f>
        <v>43744000</v>
      </c>
      <c r="E20" s="17">
        <f>SUMIFS(Monthly_Costs!D:D,Monthly_Costs!B:B,"Renjana Utama",Monthly_Costs!A:A,TEXT(Projection!$A20,"yyyy-mm"))</f>
        <v>22641000</v>
      </c>
      <c r="F20" s="17">
        <f>SUMIFS(Monthly_Costs!D:D,Monthly_Costs!B:B,"Renjana Kedua",Monthly_Costs!A:A,TEXT(Projection!$A20,"yyyy-mm"))</f>
        <v>13190000</v>
      </c>
      <c r="G20" s="17">
        <f>Projection!$E20+Projection!$F20</f>
        <v>35831000</v>
      </c>
      <c r="H20" s="17">
        <f>Projection!$D20-Projection!$G20</f>
        <v>7913000</v>
      </c>
      <c r="I20" s="17">
        <f>I19+Projection!$H20</f>
        <v>152614000</v>
      </c>
      <c r="J20" s="17">
        <f>Projection!$B20-Projection!$E20</f>
        <v>8788000</v>
      </c>
      <c r="K20" s="18">
        <f>Projection!$C20-Projection!$F20</f>
        <v>-875000</v>
      </c>
    </row>
    <row r="21" spans="1:17" x14ac:dyDescent="0.3">
      <c r="A21" s="19">
        <f t="shared" si="0"/>
        <v>45870</v>
      </c>
      <c r="B21" s="20">
        <f>SUMIFS(Daily_Sales!D:D,Daily_Sales!B:B,"Renjana Utama",Daily_Sales!E:E,TEXT(Projection!$A21,"yyyy-mm"))</f>
        <v>30593000</v>
      </c>
      <c r="C21" s="20">
        <f>SUMIFS(Daily_Sales!D:D,Daily_Sales!B:B,"Renjana Kedua",Daily_Sales!E:E,TEXT(Projection!$A21,"yyyy-mm"))</f>
        <v>22181000</v>
      </c>
      <c r="D21" s="20">
        <f>Projection!$B21+Projection!$C21</f>
        <v>52774000</v>
      </c>
      <c r="E21" s="20">
        <f>SUMIFS(Monthly_Costs!D:D,Monthly_Costs!B:B,"Renjana Utama",Monthly_Costs!A:A,TEXT(Projection!$A21,"yyyy-mm"))</f>
        <v>21787000</v>
      </c>
      <c r="F21" s="20">
        <f>SUMIFS(Monthly_Costs!D:D,Monthly_Costs!B:B,"Renjana Kedua",Monthly_Costs!A:A,TEXT(Projection!$A21,"yyyy-mm"))</f>
        <v>16403000</v>
      </c>
      <c r="G21" s="20">
        <f>Projection!$E21+Projection!$F21</f>
        <v>38190000</v>
      </c>
      <c r="H21" s="20">
        <f>Projection!$D21-Projection!$G21</f>
        <v>14584000</v>
      </c>
      <c r="I21" s="20">
        <f>I20+Projection!$H21</f>
        <v>167198000</v>
      </c>
      <c r="J21" s="20">
        <f>Projection!$B21-Projection!$E21</f>
        <v>8806000</v>
      </c>
      <c r="K21" s="21">
        <f>Projection!$C21-Projection!$F21</f>
        <v>5778000</v>
      </c>
    </row>
    <row r="22" spans="1:17" x14ac:dyDescent="0.3">
      <c r="A22" s="16">
        <f t="shared" si="0"/>
        <v>45901</v>
      </c>
      <c r="B22" s="17">
        <f>SUMIFS(Daily_Sales!D:D,Daily_Sales!B:B,"Renjana Utama",Daily_Sales!E:E,TEXT(Projection!$A22,"yyyy-mm"))</f>
        <v>31714000</v>
      </c>
      <c r="C22" s="17">
        <f>SUMIFS(Daily_Sales!D:D,Daily_Sales!B:B,"Renjana Kedua",Daily_Sales!E:E,TEXT(Projection!$A22,"yyyy-mm"))</f>
        <v>21704000</v>
      </c>
      <c r="D22" s="17">
        <f>Projection!$B22+Projection!$C22</f>
        <v>53418000</v>
      </c>
      <c r="E22" s="17">
        <f>SUMIFS(Monthly_Costs!D:D,Monthly_Costs!B:B,"Renjana Utama",Monthly_Costs!A:A,TEXT(Projection!$A22,"yyyy-mm"))</f>
        <v>22320000</v>
      </c>
      <c r="F22" s="17">
        <f>SUMIFS(Monthly_Costs!D:D,Monthly_Costs!B:B,"Renjana Kedua",Monthly_Costs!A:A,TEXT(Projection!$A22,"yyyy-mm"))</f>
        <v>17432000</v>
      </c>
      <c r="G22" s="17">
        <f>Projection!$E22+Projection!$F22</f>
        <v>39752000</v>
      </c>
      <c r="H22" s="17">
        <f>Projection!$D22-Projection!$G22</f>
        <v>13666000</v>
      </c>
      <c r="I22" s="17">
        <f>I21+Projection!$H22</f>
        <v>180864000</v>
      </c>
      <c r="J22" s="17">
        <f>Projection!$B22-Projection!$E22</f>
        <v>9394000</v>
      </c>
      <c r="K22" s="18">
        <f>Projection!$C22-Projection!$F22</f>
        <v>4272000</v>
      </c>
    </row>
    <row r="23" spans="1:17" x14ac:dyDescent="0.3">
      <c r="A23" s="19">
        <f t="shared" si="0"/>
        <v>45931</v>
      </c>
      <c r="B23" s="20">
        <f>SUMIFS(Daily_Sales!D:D,Daily_Sales!B:B,"Renjana Utama",Daily_Sales!E:E,TEXT(Projection!$A23,"yyyy-mm"))</f>
        <v>31755000</v>
      </c>
      <c r="C23" s="20">
        <f>SUMIFS(Daily_Sales!D:D,Daily_Sales!B:B,"Renjana Kedua",Daily_Sales!E:E,TEXT(Projection!$A23,"yyyy-mm"))</f>
        <v>22804000</v>
      </c>
      <c r="D23" s="20">
        <f>Projection!$B23+Projection!$C23</f>
        <v>54559000</v>
      </c>
      <c r="E23" s="20">
        <f>SUMIFS(Monthly_Costs!D:D,Monthly_Costs!B:B,"Renjana Utama",Monthly_Costs!A:A,TEXT(Projection!$A23,"yyyy-mm"))</f>
        <v>22022000</v>
      </c>
      <c r="F23" s="20">
        <f>SUMIFS(Monthly_Costs!D:D,Monthly_Costs!B:B,"Renjana Kedua",Monthly_Costs!A:A,TEXT(Projection!$A23,"yyyy-mm"))</f>
        <v>16262000</v>
      </c>
      <c r="G23" s="20">
        <f>Projection!$E23+Projection!$F23</f>
        <v>38284000</v>
      </c>
      <c r="H23" s="20">
        <f>Projection!$D23-Projection!$G23</f>
        <v>16275000</v>
      </c>
      <c r="I23" s="20">
        <f>I22+Projection!$H23</f>
        <v>197139000</v>
      </c>
      <c r="J23" s="20">
        <f>Projection!$B23-Projection!$E23</f>
        <v>9733000</v>
      </c>
      <c r="K23" s="21">
        <f>Projection!$C23-Projection!$F23</f>
        <v>6542000</v>
      </c>
    </row>
    <row r="24" spans="1:17" x14ac:dyDescent="0.3">
      <c r="A24" s="16">
        <f t="shared" si="0"/>
        <v>45962</v>
      </c>
      <c r="B24" s="17">
        <f>SUMIFS(Daily_Sales!D:D,Daily_Sales!B:B,"Renjana Utama",Daily_Sales!E:E,TEXT(Projection!$A24,"yyyy-mm"))</f>
        <v>30706000</v>
      </c>
      <c r="C24" s="17">
        <f>SUMIFS(Daily_Sales!D:D,Daily_Sales!B:B,"Renjana Kedua",Daily_Sales!E:E,TEXT(Projection!$A24,"yyyy-mm"))</f>
        <v>22596000</v>
      </c>
      <c r="D24" s="17">
        <f>Projection!$B24+Projection!$C24</f>
        <v>53302000</v>
      </c>
      <c r="E24" s="17">
        <f>SUMIFS(Monthly_Costs!D:D,Monthly_Costs!B:B,"Renjana Utama",Monthly_Costs!A:A,TEXT(Projection!$A24,"yyyy-mm"))</f>
        <v>22368000</v>
      </c>
      <c r="F24" s="17">
        <f>SUMIFS(Monthly_Costs!D:D,Monthly_Costs!B:B,"Renjana Kedua",Monthly_Costs!A:A,TEXT(Projection!$A24,"yyyy-mm"))</f>
        <v>15814000</v>
      </c>
      <c r="G24" s="17">
        <f>Projection!$E24+Projection!$F24</f>
        <v>38182000</v>
      </c>
      <c r="H24" s="17">
        <f>Projection!$D24-Projection!$G24</f>
        <v>15120000</v>
      </c>
      <c r="I24" s="17">
        <f>I23+Projection!$H24</f>
        <v>212259000</v>
      </c>
      <c r="J24" s="17">
        <f>Projection!$B24-Projection!$E24</f>
        <v>8338000</v>
      </c>
      <c r="K24" s="18">
        <f>Projection!$C24-Projection!$F24</f>
        <v>6782000</v>
      </c>
    </row>
    <row r="25" spans="1:17" x14ac:dyDescent="0.3">
      <c r="A25" s="22">
        <f t="shared" si="0"/>
        <v>45992</v>
      </c>
      <c r="B25" s="10">
        <f>SUMIFS(Daily_Sales!D:D,Daily_Sales!B:B,"Renjana Utama",Daily_Sales!E:E,TEXT(Projection!$A25,"yyyy-mm"))</f>
        <v>39897000</v>
      </c>
      <c r="C25" s="10">
        <f>SUMIFS(Daily_Sales!D:D,Daily_Sales!B:B,"Renjana Kedua",Daily_Sales!E:E,TEXT(Projection!$A25,"yyyy-mm"))</f>
        <v>23202000</v>
      </c>
      <c r="D25" s="10">
        <f>Projection!$B25+Projection!$C25</f>
        <v>63099000</v>
      </c>
      <c r="E25" s="10">
        <f>SUMIFS(Monthly_Costs!D:D,Monthly_Costs!B:B,"Renjana Utama",Monthly_Costs!A:A,TEXT(Projection!$A25,"yyyy-mm"))</f>
        <v>25887000</v>
      </c>
      <c r="F25" s="10">
        <f>SUMIFS(Monthly_Costs!D:D,Monthly_Costs!B:B,"Renjana Kedua",Monthly_Costs!A:A,TEXT(Projection!$A25,"yyyy-mm"))</f>
        <v>17326000</v>
      </c>
      <c r="G25" s="10">
        <f>Projection!$E25+Projection!$F25</f>
        <v>43213000</v>
      </c>
      <c r="H25" s="10">
        <f>Projection!$D25-Projection!$G25</f>
        <v>19886000</v>
      </c>
      <c r="I25" s="10">
        <f>I24+Projection!$H25</f>
        <v>232145000</v>
      </c>
      <c r="J25" s="10">
        <f>Projection!$B25-Projection!$E25</f>
        <v>14010000</v>
      </c>
      <c r="K25" s="23">
        <f>Projection!$C25-Projection!$F25</f>
        <v>5876000</v>
      </c>
    </row>
    <row r="26" spans="1:17" x14ac:dyDescent="0.3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1"/>
    </row>
    <row r="27" spans="1:17" ht="25.8" customHeight="1" x14ac:dyDescent="0.4">
      <c r="A27" s="64">
        <v>2026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3" t="s">
        <v>170</v>
      </c>
      <c r="N27" s="63"/>
      <c r="O27" s="31">
        <v>0</v>
      </c>
    </row>
    <row r="28" spans="1:17" ht="27" customHeight="1" x14ac:dyDescent="0.3">
      <c r="A28" s="27" t="s">
        <v>138</v>
      </c>
      <c r="B28" s="28" t="s">
        <v>147</v>
      </c>
      <c r="C28" s="28" t="s">
        <v>148</v>
      </c>
      <c r="D28" s="28" t="s">
        <v>149</v>
      </c>
      <c r="E28" s="28" t="s">
        <v>150</v>
      </c>
      <c r="F28" s="28" t="s">
        <v>151</v>
      </c>
      <c r="G28" s="28" t="s">
        <v>152</v>
      </c>
      <c r="H28" s="28" t="s">
        <v>62</v>
      </c>
      <c r="I28" s="28" t="s">
        <v>153</v>
      </c>
      <c r="J28" s="27" t="s">
        <v>154</v>
      </c>
      <c r="K28" s="27" t="s">
        <v>155</v>
      </c>
      <c r="L28" s="30" t="s">
        <v>156</v>
      </c>
      <c r="M28" s="30" t="s">
        <v>157</v>
      </c>
      <c r="N28" s="30" t="s">
        <v>158</v>
      </c>
      <c r="O28" s="30" t="s">
        <v>159</v>
      </c>
      <c r="P28" s="30" t="s">
        <v>160</v>
      </c>
      <c r="Q28" s="30" t="s">
        <v>161</v>
      </c>
    </row>
    <row r="29" spans="1:17" x14ac:dyDescent="0.3">
      <c r="A29" s="16">
        <f>EDATE(A25,1)</f>
        <v>46023</v>
      </c>
      <c r="B29" s="17">
        <f t="shared" ref="B29:B40" si="2">B14*(1+$O$15)</f>
        <v>35744606.175860405</v>
      </c>
      <c r="C29" s="17">
        <f t="shared" ref="C29:C40" si="3">C14*(1+$O$16)</f>
        <v>16762443.547541112</v>
      </c>
      <c r="D29" s="17">
        <f>B29+C29</f>
        <v>52507049.723401517</v>
      </c>
      <c r="E29" s="17">
        <f t="shared" ref="E29:E40" si="4">E14*(1+$O$17)</f>
        <v>24246407.169500031</v>
      </c>
      <c r="F29" s="17">
        <f t="shared" ref="F29:F40" si="5">F14*(1+$O$18)</f>
        <v>14808419.210205613</v>
      </c>
      <c r="G29" s="17">
        <f>P29+Q29</f>
        <v>39054826.379705645</v>
      </c>
      <c r="H29" s="17">
        <f>D29-G29</f>
        <v>13452223.343695872</v>
      </c>
      <c r="I29" s="17">
        <f>I25+H29</f>
        <v>245597223.34369588</v>
      </c>
      <c r="J29" s="17">
        <f>B29-P29</f>
        <v>11498199.006360374</v>
      </c>
      <c r="K29" s="17">
        <f>C29-Q29</f>
        <v>1954024.337335499</v>
      </c>
      <c r="L29" s="18">
        <f>B29*32.3%</f>
        <v>11545507.79480291</v>
      </c>
      <c r="M29" s="18">
        <f>C29*33.1%</f>
        <v>5548368.8142361082</v>
      </c>
      <c r="N29" s="18">
        <f>E29-L29</f>
        <v>12700899.374697121</v>
      </c>
      <c r="O29" s="18">
        <f>F29-M29</f>
        <v>9260050.3959695045</v>
      </c>
      <c r="P29" s="18">
        <f>N29 + L29*(1-55%) + L29*55%*(1+$O$27)</f>
        <v>24246407.16950003</v>
      </c>
      <c r="Q29" s="18">
        <f>O29 + M29*(1-55%) + M29*55%*(1+$O$27)</f>
        <v>14808419.210205613</v>
      </c>
    </row>
    <row r="30" spans="1:17" x14ac:dyDescent="0.3">
      <c r="A30" s="22">
        <f t="shared" ref="A30:A40" si="6">EDATE(A29,1)</f>
        <v>46054</v>
      </c>
      <c r="B30" s="10">
        <f t="shared" si="2"/>
        <v>32312567.704672784</v>
      </c>
      <c r="C30" s="10">
        <f t="shared" si="3"/>
        <v>21741699.857769463</v>
      </c>
      <c r="D30" s="10">
        <f t="shared" ref="D30:D40" si="7">B30+C30</f>
        <v>54054267.562442243</v>
      </c>
      <c r="E30" s="10">
        <f t="shared" si="4"/>
        <v>23640360.058753338</v>
      </c>
      <c r="F30" s="10">
        <f t="shared" si="5"/>
        <v>17077075.248705108</v>
      </c>
      <c r="G30" s="10">
        <f t="shared" ref="G30:G40" si="8">P30+Q30</f>
        <v>40717435.307458445</v>
      </c>
      <c r="H30" s="10">
        <f t="shared" ref="H30:H40" si="9">D30-G30</f>
        <v>13336832.254983798</v>
      </c>
      <c r="I30" s="10">
        <f t="shared" ref="I30:I40" si="10">I29+H30</f>
        <v>258934055.59867966</v>
      </c>
      <c r="J30" s="10">
        <f t="shared" ref="J30:J40" si="11">B30-P30</f>
        <v>8672207.645919446</v>
      </c>
      <c r="K30" s="10">
        <f t="shared" ref="K30:K40" si="12">C30-Q30</f>
        <v>4664624.6090643555</v>
      </c>
      <c r="L30" s="23">
        <f t="shared" ref="L30:L40" si="13">B30*32.3%</f>
        <v>10436959.368609307</v>
      </c>
      <c r="M30" s="23">
        <f t="shared" ref="M30:M40" si="14">C30*33.1%</f>
        <v>7196502.6529216925</v>
      </c>
      <c r="N30" s="23">
        <f t="shared" ref="N30:N40" si="15">E30-L30</f>
        <v>13203400.69014403</v>
      </c>
      <c r="O30" s="23">
        <f t="shared" ref="O30:O40" si="16">F30-M30</f>
        <v>9880572.5957834162</v>
      </c>
      <c r="P30" s="23">
        <f t="shared" ref="P30:P40" si="17">N30 + L30*(1-55%) + L30*55%*(1+$O$27)</f>
        <v>23640360.058753338</v>
      </c>
      <c r="Q30" s="23">
        <f t="shared" ref="Q30:Q40" si="18">O30 + M30*(1-55%) + M30*55%*(1+$O$27)</f>
        <v>17077075.248705108</v>
      </c>
    </row>
    <row r="31" spans="1:17" x14ac:dyDescent="0.3">
      <c r="A31" s="16">
        <f t="shared" si="6"/>
        <v>46082</v>
      </c>
      <c r="B31" s="17">
        <f t="shared" si="2"/>
        <v>35472675.486573108</v>
      </c>
      <c r="C31" s="17">
        <f t="shared" si="3"/>
        <v>25654223.315066583</v>
      </c>
      <c r="D31" s="17">
        <f t="shared" si="7"/>
        <v>61126898.801639691</v>
      </c>
      <c r="E31" s="17">
        <f t="shared" si="4"/>
        <v>23878934.574364442</v>
      </c>
      <c r="F31" s="17">
        <f t="shared" si="5"/>
        <v>18072664.518046618</v>
      </c>
      <c r="G31" s="17">
        <f t="shared" si="8"/>
        <v>41951599.092411056</v>
      </c>
      <c r="H31" s="17">
        <f t="shared" si="9"/>
        <v>19175299.709228635</v>
      </c>
      <c r="I31" s="17">
        <f t="shared" si="10"/>
        <v>278109355.3079083</v>
      </c>
      <c r="J31" s="17">
        <f t="shared" si="11"/>
        <v>11593740.912208669</v>
      </c>
      <c r="K31" s="17">
        <f t="shared" si="12"/>
        <v>7581558.797019966</v>
      </c>
      <c r="L31" s="18">
        <f t="shared" si="13"/>
        <v>11457674.182163112</v>
      </c>
      <c r="M31" s="18">
        <f t="shared" si="14"/>
        <v>8491547.9172870386</v>
      </c>
      <c r="N31" s="18">
        <f t="shared" si="15"/>
        <v>12421260.392201331</v>
      </c>
      <c r="O31" s="18">
        <f t="shared" si="16"/>
        <v>9581116.6007595789</v>
      </c>
      <c r="P31" s="18">
        <f t="shared" si="17"/>
        <v>23878934.57436444</v>
      </c>
      <c r="Q31" s="18">
        <f t="shared" si="18"/>
        <v>18072664.518046618</v>
      </c>
    </row>
    <row r="32" spans="1:17" x14ac:dyDescent="0.3">
      <c r="A32" s="22">
        <f t="shared" si="6"/>
        <v>46113</v>
      </c>
      <c r="B32" s="10">
        <f t="shared" si="2"/>
        <v>34844379.008128487</v>
      </c>
      <c r="C32" s="10">
        <f t="shared" si="3"/>
        <v>24099740.901091136</v>
      </c>
      <c r="D32" s="10">
        <f t="shared" si="7"/>
        <v>58944119.909219623</v>
      </c>
      <c r="E32" s="10">
        <f t="shared" si="4"/>
        <v>24154821.691943161</v>
      </c>
      <c r="F32" s="10">
        <f t="shared" si="5"/>
        <v>17696405.02829548</v>
      </c>
      <c r="G32" s="10">
        <f t="shared" si="8"/>
        <v>41851226.72023864</v>
      </c>
      <c r="H32" s="10">
        <f t="shared" si="9"/>
        <v>17092893.18898098</v>
      </c>
      <c r="I32" s="10">
        <f t="shared" si="10"/>
        <v>295202248.4968893</v>
      </c>
      <c r="J32" s="10">
        <f t="shared" si="11"/>
        <v>10689557.316185325</v>
      </c>
      <c r="K32" s="10">
        <f t="shared" si="12"/>
        <v>6403335.872795656</v>
      </c>
      <c r="L32" s="23">
        <f t="shared" si="13"/>
        <v>11254734.4196255</v>
      </c>
      <c r="M32" s="23">
        <f t="shared" si="14"/>
        <v>7977014.238261166</v>
      </c>
      <c r="N32" s="23">
        <f t="shared" si="15"/>
        <v>12900087.272317661</v>
      </c>
      <c r="O32" s="23">
        <f t="shared" si="16"/>
        <v>9719390.7900343128</v>
      </c>
      <c r="P32" s="23">
        <f t="shared" si="17"/>
        <v>24154821.69194316</v>
      </c>
      <c r="Q32" s="23">
        <f t="shared" si="18"/>
        <v>17696405.02829548</v>
      </c>
    </row>
    <row r="33" spans="1:17" x14ac:dyDescent="0.3">
      <c r="A33" s="16">
        <f t="shared" si="6"/>
        <v>46143</v>
      </c>
      <c r="B33" s="17">
        <f t="shared" si="2"/>
        <v>37280579.977907836</v>
      </c>
      <c r="C33" s="17">
        <f t="shared" si="3"/>
        <v>24779315.229548424</v>
      </c>
      <c r="D33" s="17">
        <f t="shared" si="7"/>
        <v>62059895.207456261</v>
      </c>
      <c r="E33" s="17">
        <f t="shared" si="4"/>
        <v>26235281.922864631</v>
      </c>
      <c r="F33" s="17">
        <f t="shared" si="5"/>
        <v>19516657.42709155</v>
      </c>
      <c r="G33" s="17">
        <f t="shared" si="8"/>
        <v>45751939.34995618</v>
      </c>
      <c r="H33" s="17">
        <f t="shared" si="9"/>
        <v>16307955.857500084</v>
      </c>
      <c r="I33" s="17">
        <f t="shared" si="10"/>
        <v>311510204.35438937</v>
      </c>
      <c r="J33" s="17">
        <f t="shared" si="11"/>
        <v>11045298.055043206</v>
      </c>
      <c r="K33" s="17">
        <f t="shared" si="12"/>
        <v>5262657.802456878</v>
      </c>
      <c r="L33" s="18">
        <f t="shared" si="13"/>
        <v>12041627.332864229</v>
      </c>
      <c r="M33" s="18">
        <f t="shared" si="14"/>
        <v>8201953.3409805289</v>
      </c>
      <c r="N33" s="18">
        <f t="shared" si="15"/>
        <v>14193654.590000402</v>
      </c>
      <c r="O33" s="18">
        <f t="shared" si="16"/>
        <v>11314704.08611102</v>
      </c>
      <c r="P33" s="18">
        <f t="shared" si="17"/>
        <v>26235281.92286463</v>
      </c>
      <c r="Q33" s="18">
        <f t="shared" si="18"/>
        <v>19516657.427091546</v>
      </c>
    </row>
    <row r="34" spans="1:17" x14ac:dyDescent="0.3">
      <c r="A34" s="22">
        <f t="shared" si="6"/>
        <v>46174</v>
      </c>
      <c r="B34" s="10">
        <f t="shared" si="2"/>
        <v>37064525.457652174</v>
      </c>
      <c r="C34" s="10">
        <f t="shared" si="3"/>
        <v>24565266.861032616</v>
      </c>
      <c r="D34" s="10">
        <f t="shared" si="7"/>
        <v>61629792.318684787</v>
      </c>
      <c r="E34" s="10">
        <f t="shared" si="4"/>
        <v>24399049.632094812</v>
      </c>
      <c r="F34" s="10">
        <f t="shared" si="5"/>
        <v>17877320.358175822</v>
      </c>
      <c r="G34" s="10">
        <f t="shared" si="8"/>
        <v>42276369.99027063</v>
      </c>
      <c r="H34" s="10">
        <f t="shared" si="9"/>
        <v>19353422.328414157</v>
      </c>
      <c r="I34" s="10">
        <f t="shared" si="10"/>
        <v>330863626.6828035</v>
      </c>
      <c r="J34" s="10">
        <f t="shared" si="11"/>
        <v>12665475.825557362</v>
      </c>
      <c r="K34" s="10">
        <f t="shared" si="12"/>
        <v>6687946.502856795</v>
      </c>
      <c r="L34" s="23">
        <f t="shared" si="13"/>
        <v>11971841.722821651</v>
      </c>
      <c r="M34" s="23">
        <f t="shared" si="14"/>
        <v>8131103.3310017968</v>
      </c>
      <c r="N34" s="23">
        <f t="shared" si="15"/>
        <v>12427207.909273161</v>
      </c>
      <c r="O34" s="23">
        <f t="shared" si="16"/>
        <v>9746217.0271740258</v>
      </c>
      <c r="P34" s="23">
        <f t="shared" si="17"/>
        <v>24399049.63209481</v>
      </c>
      <c r="Q34" s="23">
        <f t="shared" si="18"/>
        <v>17877320.35817582</v>
      </c>
    </row>
    <row r="35" spans="1:17" x14ac:dyDescent="0.3">
      <c r="A35" s="16">
        <f t="shared" si="6"/>
        <v>46204</v>
      </c>
      <c r="B35" s="17">
        <f t="shared" si="2"/>
        <v>39025158.144340038</v>
      </c>
      <c r="C35" s="17">
        <f t="shared" si="3"/>
        <v>14404402.504219441</v>
      </c>
      <c r="D35" s="17">
        <f t="shared" si="7"/>
        <v>53429560.648559481</v>
      </c>
      <c r="E35" s="17">
        <f t="shared" si="4"/>
        <v>25599837.004507095</v>
      </c>
      <c r="F35" s="17">
        <f t="shared" si="5"/>
        <v>14639712.890317196</v>
      </c>
      <c r="G35" s="17">
        <f t="shared" si="8"/>
        <v>40239549.89482429</v>
      </c>
      <c r="H35" s="17">
        <f t="shared" si="9"/>
        <v>13190010.753735192</v>
      </c>
      <c r="I35" s="17">
        <f t="shared" si="10"/>
        <v>344053637.4365387</v>
      </c>
      <c r="J35" s="17">
        <f t="shared" si="11"/>
        <v>13425321.139832944</v>
      </c>
      <c r="K35" s="17">
        <f t="shared" si="12"/>
        <v>-235310.38609775528</v>
      </c>
      <c r="L35" s="18">
        <f t="shared" si="13"/>
        <v>12605126.080621831</v>
      </c>
      <c r="M35" s="18">
        <f t="shared" si="14"/>
        <v>4767857.2288966356</v>
      </c>
      <c r="N35" s="18">
        <f t="shared" si="15"/>
        <v>12994710.923885264</v>
      </c>
      <c r="O35" s="18">
        <f t="shared" si="16"/>
        <v>9871855.6614205614</v>
      </c>
      <c r="P35" s="18">
        <f t="shared" si="17"/>
        <v>25599837.004507095</v>
      </c>
      <c r="Q35" s="18">
        <f t="shared" si="18"/>
        <v>14639712.890317196</v>
      </c>
    </row>
    <row r="36" spans="1:17" x14ac:dyDescent="0.3">
      <c r="A36" s="22">
        <f t="shared" si="6"/>
        <v>46235</v>
      </c>
      <c r="B36" s="10">
        <f t="shared" si="2"/>
        <v>37987103.092996754</v>
      </c>
      <c r="C36" s="10">
        <f t="shared" si="3"/>
        <v>25944299.792618059</v>
      </c>
      <c r="D36" s="10">
        <f t="shared" si="7"/>
        <v>63931402.885614812</v>
      </c>
      <c r="E36" s="10">
        <f t="shared" si="4"/>
        <v>24634232.092981584</v>
      </c>
      <c r="F36" s="10">
        <f t="shared" si="5"/>
        <v>18205853.717958525</v>
      </c>
      <c r="G36" s="10">
        <f t="shared" si="8"/>
        <v>42840085.81094011</v>
      </c>
      <c r="H36" s="10">
        <f t="shared" si="9"/>
        <v>21091317.074674703</v>
      </c>
      <c r="I36" s="10">
        <f t="shared" si="10"/>
        <v>365144954.5112134</v>
      </c>
      <c r="J36" s="10">
        <f t="shared" si="11"/>
        <v>13352871.00001517</v>
      </c>
      <c r="K36" s="10">
        <f t="shared" si="12"/>
        <v>7738446.074659534</v>
      </c>
      <c r="L36" s="23">
        <f t="shared" si="13"/>
        <v>12269834.29903795</v>
      </c>
      <c r="M36" s="23">
        <f t="shared" si="14"/>
        <v>8587563.2313565779</v>
      </c>
      <c r="N36" s="23">
        <f t="shared" si="15"/>
        <v>12364397.793943634</v>
      </c>
      <c r="O36" s="23">
        <f t="shared" si="16"/>
        <v>9618290.4866019469</v>
      </c>
      <c r="P36" s="23">
        <f t="shared" si="17"/>
        <v>24634232.092981584</v>
      </c>
      <c r="Q36" s="23">
        <f t="shared" si="18"/>
        <v>18205853.717958525</v>
      </c>
    </row>
    <row r="37" spans="1:17" x14ac:dyDescent="0.3">
      <c r="A37" s="16">
        <f t="shared" si="6"/>
        <v>46266</v>
      </c>
      <c r="B37" s="17">
        <f t="shared" si="2"/>
        <v>39379040.548207074</v>
      </c>
      <c r="C37" s="17">
        <f t="shared" si="3"/>
        <v>25386370.438617844</v>
      </c>
      <c r="D37" s="17">
        <f t="shared" si="7"/>
        <v>64765410.986824915</v>
      </c>
      <c r="E37" s="17">
        <f t="shared" si="4"/>
        <v>25236887.149003949</v>
      </c>
      <c r="F37" s="17">
        <f t="shared" si="5"/>
        <v>19347951.107203133</v>
      </c>
      <c r="G37" s="17">
        <f t="shared" si="8"/>
        <v>44584838.25620708</v>
      </c>
      <c r="H37" s="17">
        <f t="shared" si="9"/>
        <v>20180572.730617836</v>
      </c>
      <c r="I37" s="17">
        <f t="shared" si="10"/>
        <v>385325527.24183124</v>
      </c>
      <c r="J37" s="17">
        <f t="shared" si="11"/>
        <v>14142153.399203125</v>
      </c>
      <c r="K37" s="17">
        <f t="shared" si="12"/>
        <v>6038419.331414711</v>
      </c>
      <c r="L37" s="18">
        <f t="shared" si="13"/>
        <v>12719430.097070884</v>
      </c>
      <c r="M37" s="18">
        <f t="shared" si="14"/>
        <v>8402888.6151825059</v>
      </c>
      <c r="N37" s="18">
        <f t="shared" si="15"/>
        <v>12517457.051933065</v>
      </c>
      <c r="O37" s="18">
        <f t="shared" si="16"/>
        <v>10945062.492020627</v>
      </c>
      <c r="P37" s="18">
        <f t="shared" si="17"/>
        <v>25236887.14900395</v>
      </c>
      <c r="Q37" s="18">
        <f t="shared" si="18"/>
        <v>19347951.107203133</v>
      </c>
    </row>
    <row r="38" spans="1:17" x14ac:dyDescent="0.3">
      <c r="A38" s="22">
        <f t="shared" si="6"/>
        <v>46296</v>
      </c>
      <c r="B38" s="10">
        <f t="shared" si="2"/>
        <v>39429949.94665812</v>
      </c>
      <c r="C38" s="10">
        <f t="shared" si="3"/>
        <v>26672999.976144549</v>
      </c>
      <c r="D38" s="10">
        <f t="shared" si="7"/>
        <v>66102949.922802672</v>
      </c>
      <c r="E38" s="10">
        <f t="shared" si="4"/>
        <v>24899943.046387319</v>
      </c>
      <c r="F38" s="10">
        <f t="shared" si="5"/>
        <v>18049356.408062033</v>
      </c>
      <c r="G38" s="10">
        <f t="shared" si="8"/>
        <v>42949299.454449356</v>
      </c>
      <c r="H38" s="10">
        <f t="shared" si="9"/>
        <v>23153650.468353316</v>
      </c>
      <c r="I38" s="10">
        <f t="shared" si="10"/>
        <v>408479177.7101846</v>
      </c>
      <c r="J38" s="10">
        <f t="shared" si="11"/>
        <v>14530006.900270801</v>
      </c>
      <c r="K38" s="10">
        <f t="shared" si="12"/>
        <v>8623643.568082515</v>
      </c>
      <c r="L38" s="23">
        <f t="shared" si="13"/>
        <v>12735873.832770571</v>
      </c>
      <c r="M38" s="23">
        <f t="shared" si="14"/>
        <v>8828762.9921038467</v>
      </c>
      <c r="N38" s="23">
        <f t="shared" si="15"/>
        <v>12164069.213616747</v>
      </c>
      <c r="O38" s="23">
        <f t="shared" si="16"/>
        <v>9220593.4159581866</v>
      </c>
      <c r="P38" s="23">
        <f t="shared" si="17"/>
        <v>24899943.04638732</v>
      </c>
      <c r="Q38" s="23">
        <f t="shared" si="18"/>
        <v>18049356.408062033</v>
      </c>
    </row>
    <row r="39" spans="1:17" x14ac:dyDescent="0.3">
      <c r="A39" s="16">
        <f t="shared" si="6"/>
        <v>46327</v>
      </c>
      <c r="B39" s="17">
        <f t="shared" si="2"/>
        <v>38127414.361898415</v>
      </c>
      <c r="C39" s="17">
        <f t="shared" si="3"/>
        <v>26429710.027230408</v>
      </c>
      <c r="D39" s="17">
        <f t="shared" si="7"/>
        <v>64557124.389128819</v>
      </c>
      <c r="E39" s="17">
        <f t="shared" si="4"/>
        <v>25291160.024593204</v>
      </c>
      <c r="F39" s="17">
        <f t="shared" si="5"/>
        <v>17552116.728390913</v>
      </c>
      <c r="G39" s="17">
        <f t="shared" si="8"/>
        <v>42843276.75298412</v>
      </c>
      <c r="H39" s="17">
        <f t="shared" si="9"/>
        <v>21713847.636144698</v>
      </c>
      <c r="I39" s="17">
        <f t="shared" si="10"/>
        <v>430193025.3463293</v>
      </c>
      <c r="J39" s="17">
        <f t="shared" si="11"/>
        <v>12836254.33730521</v>
      </c>
      <c r="K39" s="17">
        <f t="shared" si="12"/>
        <v>8877593.298839495</v>
      </c>
      <c r="L39" s="18">
        <f t="shared" si="13"/>
        <v>12315154.838893186</v>
      </c>
      <c r="M39" s="18">
        <f t="shared" si="14"/>
        <v>8748234.0190132651</v>
      </c>
      <c r="N39" s="18">
        <f t="shared" si="15"/>
        <v>12976005.185700018</v>
      </c>
      <c r="O39" s="18">
        <f t="shared" si="16"/>
        <v>8803882.7093776483</v>
      </c>
      <c r="P39" s="18">
        <f t="shared" si="17"/>
        <v>25291160.024593204</v>
      </c>
      <c r="Q39" s="18">
        <f t="shared" si="18"/>
        <v>17552116.728390913</v>
      </c>
    </row>
    <row r="40" spans="1:17" x14ac:dyDescent="0.3">
      <c r="A40" s="22">
        <f t="shared" si="6"/>
        <v>46357</v>
      </c>
      <c r="B40" s="10">
        <f t="shared" si="2"/>
        <v>49539811.463448875</v>
      </c>
      <c r="C40" s="10">
        <f t="shared" si="3"/>
        <v>27138525.936086029</v>
      </c>
      <c r="D40" s="10">
        <f t="shared" si="7"/>
        <v>76678337.399534911</v>
      </c>
      <c r="E40" s="10">
        <f t="shared" si="4"/>
        <v>29270040.216230519</v>
      </c>
      <c r="F40" s="10">
        <f t="shared" si="5"/>
        <v>19230300.64728095</v>
      </c>
      <c r="G40" s="10">
        <f t="shared" si="8"/>
        <v>48500340.86351147</v>
      </c>
      <c r="H40" s="10">
        <f t="shared" si="9"/>
        <v>28177996.536023438</v>
      </c>
      <c r="I40" s="10">
        <f t="shared" si="10"/>
        <v>458371021.8823527</v>
      </c>
      <c r="J40" s="10">
        <f t="shared" si="11"/>
        <v>20269771.247218356</v>
      </c>
      <c r="K40" s="10">
        <f t="shared" si="12"/>
        <v>7908225.288805079</v>
      </c>
      <c r="L40" s="23">
        <f t="shared" si="13"/>
        <v>16001359.102693984</v>
      </c>
      <c r="M40" s="23">
        <f t="shared" si="14"/>
        <v>8982852.0848444756</v>
      </c>
      <c r="N40" s="23">
        <f t="shared" si="15"/>
        <v>13268681.113536535</v>
      </c>
      <c r="O40" s="23">
        <f t="shared" si="16"/>
        <v>10247448.562436474</v>
      </c>
      <c r="P40" s="23">
        <f t="shared" si="17"/>
        <v>29270040.21623052</v>
      </c>
      <c r="Q40" s="23">
        <f t="shared" si="18"/>
        <v>19230300.64728095</v>
      </c>
    </row>
    <row r="41" spans="1:17" x14ac:dyDescent="0.3">
      <c r="A41" s="14"/>
      <c r="B41" s="15"/>
      <c r="C41" s="15"/>
      <c r="D41" s="15"/>
      <c r="E41" s="15"/>
      <c r="F41" s="15"/>
      <c r="G41" s="15"/>
      <c r="H41" s="15"/>
      <c r="J41" s="15"/>
      <c r="K41" s="15"/>
    </row>
    <row r="42" spans="1:17" x14ac:dyDescent="0.3">
      <c r="A42" s="14"/>
      <c r="B42" s="15"/>
      <c r="C42" s="15"/>
      <c r="D42" s="15"/>
      <c r="E42" s="15"/>
      <c r="F42" s="15"/>
      <c r="G42" s="15"/>
      <c r="H42" s="15"/>
      <c r="J42" s="15"/>
      <c r="K42" s="15"/>
    </row>
    <row r="43" spans="1:17" ht="44.4" customHeight="1" x14ac:dyDescent="0.3">
      <c r="A43" s="34"/>
      <c r="B43" s="35" t="s">
        <v>171</v>
      </c>
      <c r="C43" s="36" t="s">
        <v>172</v>
      </c>
      <c r="J43" s="15"/>
      <c r="K43" s="15"/>
    </row>
    <row r="44" spans="1:17" ht="21" customHeight="1" x14ac:dyDescent="0.3">
      <c r="A44" s="32"/>
      <c r="B44" s="33">
        <f>I40</f>
        <v>458371021.8823527</v>
      </c>
      <c r="C44" s="33">
        <f>AVERAGE(H29:H40)</f>
        <v>18852168.49019606</v>
      </c>
      <c r="F44" s="15"/>
      <c r="G44" s="15"/>
      <c r="H44" s="15"/>
      <c r="J44" s="15"/>
      <c r="K44" s="15"/>
    </row>
    <row r="45" spans="1:17" ht="21" customHeight="1" x14ac:dyDescent="0.3">
      <c r="A45" s="32">
        <v>0.1</v>
      </c>
      <c r="B45" s="33">
        <f t="dataTable" ref="B45:C47" dt2D="0" dtr="0" r1="O27"/>
        <v>445103934.44775933</v>
      </c>
      <c r="C45" s="33">
        <v>17746577.870646611</v>
      </c>
      <c r="F45"/>
      <c r="G45"/>
      <c r="H45"/>
    </row>
    <row r="46" spans="1:17" ht="21" customHeight="1" x14ac:dyDescent="0.3">
      <c r="A46" s="32">
        <v>0.15</v>
      </c>
      <c r="B46" s="33">
        <v>438470390.73046273</v>
      </c>
      <c r="C46" s="33">
        <v>17193782.560871888</v>
      </c>
      <c r="F46"/>
      <c r="G46"/>
      <c r="H46"/>
    </row>
    <row r="47" spans="1:17" ht="21" customHeight="1" x14ac:dyDescent="0.3">
      <c r="A47" s="32">
        <v>0.2</v>
      </c>
      <c r="B47" s="33">
        <v>431836847.01316595</v>
      </c>
      <c r="C47" s="33">
        <v>16640987.251097167</v>
      </c>
      <c r="F47"/>
      <c r="G47"/>
      <c r="H47"/>
    </row>
    <row r="48" spans="1:17" ht="21" customHeight="1" x14ac:dyDescent="0.3">
      <c r="B48"/>
      <c r="C48"/>
      <c r="D48"/>
      <c r="E48"/>
      <c r="F48"/>
      <c r="G48"/>
      <c r="H48"/>
    </row>
    <row r="49" spans="2:8" x14ac:dyDescent="0.3">
      <c r="B49"/>
      <c r="C49"/>
      <c r="D49"/>
      <c r="E49"/>
      <c r="F49"/>
      <c r="G49"/>
      <c r="H49"/>
    </row>
    <row r="50" spans="2:8" x14ac:dyDescent="0.3">
      <c r="B50"/>
      <c r="C50"/>
      <c r="D50"/>
      <c r="E50"/>
      <c r="F50"/>
      <c r="G50"/>
      <c r="H50"/>
    </row>
    <row r="51" spans="2:8" x14ac:dyDescent="0.3">
      <c r="B51"/>
      <c r="C51"/>
      <c r="D51"/>
      <c r="E51"/>
      <c r="F51"/>
      <c r="G51"/>
      <c r="H51"/>
    </row>
  </sheetData>
  <mergeCells count="6">
    <mergeCell ref="M27:N27"/>
    <mergeCell ref="A27:L27"/>
    <mergeCell ref="M17:N17"/>
    <mergeCell ref="M18:N18"/>
    <mergeCell ref="M15:N15"/>
    <mergeCell ref="M16:N16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A2" calculatedColumn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77A8-9013-464C-977D-7B2FD633B784}">
  <dimension ref="A1:M26"/>
  <sheetViews>
    <sheetView zoomScale="75" zoomScaleNormal="75" workbookViewId="0">
      <selection activeCell="B1" sqref="B1"/>
    </sheetView>
  </sheetViews>
  <sheetFormatPr defaultRowHeight="14.4" x14ac:dyDescent="0.3"/>
  <cols>
    <col min="1" max="1" width="22.33203125" bestFit="1" customWidth="1"/>
    <col min="2" max="3" width="13.88671875" customWidth="1"/>
    <col min="5" max="5" width="10.44140625" customWidth="1"/>
    <col min="6" max="6" width="16.5546875" customWidth="1"/>
    <col min="7" max="7" width="12" customWidth="1"/>
    <col min="8" max="8" width="20.21875" customWidth="1"/>
    <col min="9" max="9" width="17.6640625" customWidth="1"/>
    <col min="10" max="10" width="18.33203125" customWidth="1"/>
    <col min="11" max="11" width="10.44140625" bestFit="1" customWidth="1"/>
    <col min="12" max="12" width="21.77734375" customWidth="1"/>
    <col min="13" max="13" width="20.88671875" customWidth="1"/>
  </cols>
  <sheetData>
    <row r="1" spans="1:13" x14ac:dyDescent="0.3">
      <c r="A1" t="s">
        <v>173</v>
      </c>
      <c r="B1" s="46" t="s">
        <v>69</v>
      </c>
    </row>
    <row r="2" spans="1:13" x14ac:dyDescent="0.3">
      <c r="A2" t="s">
        <v>174</v>
      </c>
      <c r="B2" s="43">
        <v>1</v>
      </c>
    </row>
    <row r="3" spans="1:13" x14ac:dyDescent="0.3">
      <c r="A3" t="s">
        <v>175</v>
      </c>
      <c r="B3" s="44">
        <f>AVERAGE(Projection!C20:C25)</f>
        <v>20800333.333333332</v>
      </c>
    </row>
    <row r="5" spans="1:13" ht="21" customHeight="1" x14ac:dyDescent="0.3">
      <c r="A5" s="37" t="s">
        <v>176</v>
      </c>
      <c r="B5" s="37" t="s">
        <v>64</v>
      </c>
      <c r="C5" s="37" t="s">
        <v>65</v>
      </c>
      <c r="E5" s="37" t="s">
        <v>178</v>
      </c>
      <c r="F5" s="37" t="s">
        <v>181</v>
      </c>
      <c r="G5" s="37" t="s">
        <v>66</v>
      </c>
      <c r="H5" s="37" t="s">
        <v>182</v>
      </c>
      <c r="I5" s="37" t="s">
        <v>183</v>
      </c>
      <c r="J5" s="37" t="s">
        <v>184</v>
      </c>
      <c r="K5" s="37" t="s">
        <v>67</v>
      </c>
      <c r="L5" s="37" t="s">
        <v>185</v>
      </c>
      <c r="M5" s="37" t="s">
        <v>186</v>
      </c>
    </row>
    <row r="6" spans="1:13" x14ac:dyDescent="0.3">
      <c r="A6" s="38">
        <v>1</v>
      </c>
      <c r="B6" s="39">
        <v>0.5</v>
      </c>
      <c r="C6" s="39">
        <v>0.3</v>
      </c>
      <c r="E6" s="47">
        <v>1</v>
      </c>
      <c r="F6" s="47">
        <f>IF(OR($B$1="None",$B$2="",E6&lt;$B$2),0,E6-$B$2+1)</f>
        <v>1</v>
      </c>
      <c r="G6" s="48">
        <f>IF(F6=0,0,IF($B$1="C", VLOOKUP(MIN(F6,12),$A$6:$C$17,2,FALSE),IF($B$1="D",VLOOKUP(MIN(F6,12),$A$6:$C$17,3,FALSE),0)))</f>
        <v>0.3</v>
      </c>
      <c r="H6" s="49">
        <f>G6*$B$3</f>
        <v>6240099.9999999991</v>
      </c>
      <c r="I6" s="50">
        <f>H6*33.1%</f>
        <v>2065473.0999999999</v>
      </c>
      <c r="J6" s="47">
        <f>IF(F6&gt;=1,5800000,0)</f>
        <v>5800000</v>
      </c>
      <c r="K6" s="47">
        <f>IF(E6 = $B$2, IF($B$1="C",134000000,IF($B$1="D",92000000,0)),0)</f>
        <v>92000000</v>
      </c>
      <c r="L6" s="50">
        <f>H6-I6-J6-K6</f>
        <v>-93625373.099999994</v>
      </c>
      <c r="M6" s="51">
        <f>Projection!I25+Projection!H29+L6</f>
        <v>151971850.24369588</v>
      </c>
    </row>
    <row r="7" spans="1:13" x14ac:dyDescent="0.3">
      <c r="A7" s="40">
        <v>2</v>
      </c>
      <c r="B7" s="41">
        <v>0.65</v>
      </c>
      <c r="C7" s="41">
        <v>0.42</v>
      </c>
      <c r="E7" s="47">
        <f>E6+1</f>
        <v>2</v>
      </c>
      <c r="F7" s="47">
        <f>IF(OR($B$1="None",$B$2="",E7&lt;$B$2),0,E7-$B$2+1)</f>
        <v>2</v>
      </c>
      <c r="G7" s="48">
        <f t="shared" ref="G7:G17" si="0">IF(F7=0,0,IF($B$1="C", VLOOKUP(MIN(F7,12),$A$6:$C$17,2,FALSE),IF($B$1="D",VLOOKUP(MIN(F7,12),$A$6:$C$17,3,FALSE),0)))</f>
        <v>0.42</v>
      </c>
      <c r="H7" s="49">
        <f t="shared" ref="H7:H17" si="1">G7*$B$3</f>
        <v>8736140</v>
      </c>
      <c r="I7" s="50">
        <f t="shared" ref="I7:I17" si="2">H7*33.1%</f>
        <v>2891662.3400000003</v>
      </c>
      <c r="J7" s="47">
        <f t="shared" ref="J7:J17" si="3">IF(F7&gt;=1,5800000,0)</f>
        <v>5800000</v>
      </c>
      <c r="K7" s="47">
        <f t="shared" ref="K7:K17" si="4">IF(E7 = $B$2, IF($B$1="C",134000000,IF($B$1="D",92000000,0)),0)</f>
        <v>0</v>
      </c>
      <c r="L7" s="50">
        <f t="shared" ref="L7:L17" si="5">H7-I7-J7-K7</f>
        <v>44477.660000000149</v>
      </c>
      <c r="M7" s="51">
        <f>M6+Projection!H30+L7</f>
        <v>165353160.1586797</v>
      </c>
    </row>
    <row r="8" spans="1:13" x14ac:dyDescent="0.3">
      <c r="A8" s="38">
        <v>3</v>
      </c>
      <c r="B8" s="39">
        <v>0.78</v>
      </c>
      <c r="C8" s="39">
        <v>0.55000000000000004</v>
      </c>
      <c r="E8" s="47">
        <f t="shared" ref="E8:E16" si="6">E7+1</f>
        <v>3</v>
      </c>
      <c r="F8" s="47">
        <f>IF(OR($B$1="None",$B$2="",E8&lt;$B$2),0,E8-$B$2+1)</f>
        <v>3</v>
      </c>
      <c r="G8" s="48">
        <f t="shared" si="0"/>
        <v>0.55000000000000004</v>
      </c>
      <c r="H8" s="49">
        <f t="shared" si="1"/>
        <v>11440183.333333334</v>
      </c>
      <c r="I8" s="50">
        <f t="shared" si="2"/>
        <v>3786700.6833333336</v>
      </c>
      <c r="J8" s="47">
        <f t="shared" si="3"/>
        <v>5800000</v>
      </c>
      <c r="K8" s="47">
        <f t="shared" si="4"/>
        <v>0</v>
      </c>
      <c r="L8" s="50">
        <f t="shared" si="5"/>
        <v>1853482.6500000004</v>
      </c>
      <c r="M8" s="51">
        <f>M7+Projection!H31+L8</f>
        <v>186381942.51790833</v>
      </c>
    </row>
    <row r="9" spans="1:13" x14ac:dyDescent="0.3">
      <c r="A9" s="40">
        <v>4</v>
      </c>
      <c r="B9" s="41">
        <v>0.88</v>
      </c>
      <c r="C9" s="41">
        <v>0.68</v>
      </c>
      <c r="E9" s="47">
        <f t="shared" si="6"/>
        <v>4</v>
      </c>
      <c r="F9" s="47">
        <f>IF(OR($B$1="None",$B$2="",E9&lt;$B$2),0,E9-$B$2+1)</f>
        <v>4</v>
      </c>
      <c r="G9" s="48">
        <f t="shared" si="0"/>
        <v>0.68</v>
      </c>
      <c r="H9" s="49">
        <f t="shared" si="1"/>
        <v>14144226.666666666</v>
      </c>
      <c r="I9" s="50">
        <f t="shared" si="2"/>
        <v>4681739.0266666664</v>
      </c>
      <c r="J9" s="47">
        <f t="shared" si="3"/>
        <v>5800000</v>
      </c>
      <c r="K9" s="47">
        <f t="shared" si="4"/>
        <v>0</v>
      </c>
      <c r="L9" s="50">
        <f t="shared" si="5"/>
        <v>3662487.6400000006</v>
      </c>
      <c r="M9" s="51">
        <f>M8+Projection!H32+L9</f>
        <v>207137323.34688932</v>
      </c>
    </row>
    <row r="10" spans="1:13" x14ac:dyDescent="0.3">
      <c r="A10" s="38">
        <v>5</v>
      </c>
      <c r="B10" s="39">
        <v>0.95</v>
      </c>
      <c r="C10" s="39">
        <v>0.8</v>
      </c>
      <c r="E10" s="47">
        <f t="shared" si="6"/>
        <v>5</v>
      </c>
      <c r="F10" s="47">
        <f>IF(OR($B$1="None",$B$2="",E10&lt;$B$2),0,E10-$B$2+1)</f>
        <v>5</v>
      </c>
      <c r="G10" s="48">
        <f t="shared" si="0"/>
        <v>0.8</v>
      </c>
      <c r="H10" s="49">
        <f t="shared" si="1"/>
        <v>16640266.666666666</v>
      </c>
      <c r="I10" s="50">
        <f t="shared" si="2"/>
        <v>5507928.2666666666</v>
      </c>
      <c r="J10" s="47">
        <f t="shared" si="3"/>
        <v>5800000</v>
      </c>
      <c r="K10" s="47">
        <f t="shared" si="4"/>
        <v>0</v>
      </c>
      <c r="L10" s="50">
        <f t="shared" si="5"/>
        <v>5332338.3999999985</v>
      </c>
      <c r="M10" s="51">
        <f>M9+Projection!H33+L10</f>
        <v>228777617.6043894</v>
      </c>
    </row>
    <row r="11" spans="1:13" x14ac:dyDescent="0.3">
      <c r="A11" s="40">
        <v>6</v>
      </c>
      <c r="B11" s="41">
        <v>1</v>
      </c>
      <c r="C11" s="41">
        <v>0.9</v>
      </c>
      <c r="E11" s="47">
        <f t="shared" si="6"/>
        <v>6</v>
      </c>
      <c r="F11" s="47">
        <f>IF(OR($B$1="None",$B$2="",E11&lt;$B$2),0,E11-$B$2+1)</f>
        <v>6</v>
      </c>
      <c r="G11" s="48">
        <f t="shared" si="0"/>
        <v>0.9</v>
      </c>
      <c r="H11" s="49">
        <f t="shared" si="1"/>
        <v>18720300</v>
      </c>
      <c r="I11" s="50">
        <f t="shared" si="2"/>
        <v>6196419.3000000007</v>
      </c>
      <c r="J11" s="47">
        <f t="shared" si="3"/>
        <v>5800000</v>
      </c>
      <c r="K11" s="47">
        <f t="shared" si="4"/>
        <v>0</v>
      </c>
      <c r="L11" s="50">
        <f t="shared" si="5"/>
        <v>6723880.6999999993</v>
      </c>
      <c r="M11" s="51">
        <f>M10+Projection!H34+L11</f>
        <v>254854920.63280356</v>
      </c>
    </row>
    <row r="12" spans="1:13" x14ac:dyDescent="0.3">
      <c r="A12" s="38">
        <v>7</v>
      </c>
      <c r="B12" s="39">
        <v>1</v>
      </c>
      <c r="C12" s="39">
        <v>1</v>
      </c>
      <c r="E12" s="47">
        <f t="shared" si="6"/>
        <v>7</v>
      </c>
      <c r="F12" s="47">
        <f>IF(OR($B$1="None",$B$2="",E12&lt;$B$2),0,E12-$B$2+1)</f>
        <v>7</v>
      </c>
      <c r="G12" s="48">
        <f t="shared" si="0"/>
        <v>1</v>
      </c>
      <c r="H12" s="49">
        <f t="shared" si="1"/>
        <v>20800333.333333332</v>
      </c>
      <c r="I12" s="50">
        <f t="shared" si="2"/>
        <v>6884910.333333333</v>
      </c>
      <c r="J12" s="47">
        <f t="shared" si="3"/>
        <v>5800000</v>
      </c>
      <c r="K12" s="47">
        <f t="shared" si="4"/>
        <v>0</v>
      </c>
      <c r="L12" s="50">
        <f t="shared" si="5"/>
        <v>8115423</v>
      </c>
      <c r="M12" s="51">
        <f>M11+Projection!H35+L12</f>
        <v>276160354.38653874</v>
      </c>
    </row>
    <row r="13" spans="1:13" x14ac:dyDescent="0.3">
      <c r="A13" s="40">
        <v>8</v>
      </c>
      <c r="B13" s="41">
        <v>1</v>
      </c>
      <c r="C13" s="41">
        <v>1</v>
      </c>
      <c r="E13" s="47">
        <f t="shared" si="6"/>
        <v>8</v>
      </c>
      <c r="F13" s="47">
        <f>IF(OR($B$1="None",$B$2="",E13&lt;$B$2),0,E13-$B$2+1)</f>
        <v>8</v>
      </c>
      <c r="G13" s="48">
        <f t="shared" si="0"/>
        <v>1</v>
      </c>
      <c r="H13" s="49">
        <f t="shared" si="1"/>
        <v>20800333.333333332</v>
      </c>
      <c r="I13" s="50">
        <f t="shared" si="2"/>
        <v>6884910.333333333</v>
      </c>
      <c r="J13" s="47">
        <f t="shared" si="3"/>
        <v>5800000</v>
      </c>
      <c r="K13" s="47">
        <f t="shared" si="4"/>
        <v>0</v>
      </c>
      <c r="L13" s="50">
        <f t="shared" si="5"/>
        <v>8115423</v>
      </c>
      <c r="M13" s="51">
        <f>M12+Projection!H36+L13</f>
        <v>305367094.46121347</v>
      </c>
    </row>
    <row r="14" spans="1:13" x14ac:dyDescent="0.3">
      <c r="A14" s="38">
        <v>9</v>
      </c>
      <c r="B14" s="39">
        <v>1</v>
      </c>
      <c r="C14" s="39">
        <v>1</v>
      </c>
      <c r="E14" s="47">
        <f t="shared" si="6"/>
        <v>9</v>
      </c>
      <c r="F14" s="47">
        <f>IF(OR($B$1="None",$B$2="",E14&lt;$B$2),0,E14-$B$2+1)</f>
        <v>9</v>
      </c>
      <c r="G14" s="48">
        <f t="shared" si="0"/>
        <v>1</v>
      </c>
      <c r="H14" s="49">
        <f t="shared" si="1"/>
        <v>20800333.333333332</v>
      </c>
      <c r="I14" s="50">
        <f t="shared" si="2"/>
        <v>6884910.333333333</v>
      </c>
      <c r="J14" s="47">
        <f t="shared" si="3"/>
        <v>5800000</v>
      </c>
      <c r="K14" s="47">
        <f t="shared" si="4"/>
        <v>0</v>
      </c>
      <c r="L14" s="50">
        <f t="shared" si="5"/>
        <v>8115423</v>
      </c>
      <c r="M14" s="51">
        <f>M13+Projection!H37+L14</f>
        <v>333663090.1918313</v>
      </c>
    </row>
    <row r="15" spans="1:13" x14ac:dyDescent="0.3">
      <c r="A15" s="40">
        <v>10</v>
      </c>
      <c r="B15" s="41">
        <v>1</v>
      </c>
      <c r="C15" s="41">
        <v>1</v>
      </c>
      <c r="E15" s="47">
        <f t="shared" si="6"/>
        <v>10</v>
      </c>
      <c r="F15" s="47">
        <f>IF(OR($B$1="None",$B$2="",E15&lt;$B$2),0,E15-$B$2+1)</f>
        <v>10</v>
      </c>
      <c r="G15" s="48">
        <f t="shared" si="0"/>
        <v>1</v>
      </c>
      <c r="H15" s="49">
        <f t="shared" si="1"/>
        <v>20800333.333333332</v>
      </c>
      <c r="I15" s="50">
        <f t="shared" si="2"/>
        <v>6884910.333333333</v>
      </c>
      <c r="J15" s="47">
        <f t="shared" si="3"/>
        <v>5800000</v>
      </c>
      <c r="K15" s="47">
        <f t="shared" si="4"/>
        <v>0</v>
      </c>
      <c r="L15" s="50">
        <f t="shared" si="5"/>
        <v>8115423</v>
      </c>
      <c r="M15" s="51">
        <f>M14+Projection!H38+L15</f>
        <v>364932163.6601846</v>
      </c>
    </row>
    <row r="16" spans="1:13" x14ac:dyDescent="0.3">
      <c r="A16" s="38">
        <v>11</v>
      </c>
      <c r="B16" s="39">
        <v>1</v>
      </c>
      <c r="C16" s="39">
        <v>1</v>
      </c>
      <c r="E16" s="47">
        <f t="shared" si="6"/>
        <v>11</v>
      </c>
      <c r="F16" s="47">
        <f>IF(OR($B$1="None",$B$2="",E16&lt;$B$2),0,E16-$B$2+1)</f>
        <v>11</v>
      </c>
      <c r="G16" s="48">
        <f t="shared" si="0"/>
        <v>1</v>
      </c>
      <c r="H16" s="49">
        <f t="shared" si="1"/>
        <v>20800333.333333332</v>
      </c>
      <c r="I16" s="50">
        <f t="shared" si="2"/>
        <v>6884910.333333333</v>
      </c>
      <c r="J16" s="47">
        <f t="shared" si="3"/>
        <v>5800000</v>
      </c>
      <c r="K16" s="47">
        <f t="shared" si="4"/>
        <v>0</v>
      </c>
      <c r="L16" s="50">
        <f t="shared" si="5"/>
        <v>8115423</v>
      </c>
      <c r="M16" s="51">
        <f>M15+Projection!H39+L16</f>
        <v>394761434.2963293</v>
      </c>
    </row>
    <row r="17" spans="1:13" x14ac:dyDescent="0.3">
      <c r="A17" s="40">
        <v>12</v>
      </c>
      <c r="B17" s="41">
        <v>1</v>
      </c>
      <c r="C17" s="41">
        <v>1</v>
      </c>
      <c r="E17" s="47">
        <f>E16+1</f>
        <v>12</v>
      </c>
      <c r="F17" s="47">
        <f>IF(OR($B$1="None",$B$2="",E17&lt;$B$2),0,E17-$B$2+1)</f>
        <v>12</v>
      </c>
      <c r="G17" s="48">
        <f t="shared" si="0"/>
        <v>1</v>
      </c>
      <c r="H17" s="49">
        <f t="shared" si="1"/>
        <v>20800333.333333332</v>
      </c>
      <c r="I17" s="50">
        <f t="shared" si="2"/>
        <v>6884910.333333333</v>
      </c>
      <c r="J17" s="47">
        <f t="shared" si="3"/>
        <v>5800000</v>
      </c>
      <c r="K17" s="47">
        <f t="shared" si="4"/>
        <v>0</v>
      </c>
      <c r="L17" s="50">
        <f t="shared" si="5"/>
        <v>8115423</v>
      </c>
      <c r="M17" s="51">
        <f>M16+Projection!H40+L17</f>
        <v>431054853.83235276</v>
      </c>
    </row>
    <row r="21" spans="1:13" x14ac:dyDescent="0.3">
      <c r="E21" s="66" t="s">
        <v>179</v>
      </c>
      <c r="F21" s="66"/>
      <c r="G21" s="66"/>
      <c r="H21" s="9">
        <f>(AVERAGE(Projection!E14:E25)-32.3%*AVERAGE(Projection!B14:B25))+(AVERAGE(Projection!F14:F25)-33.1%*AVERAGE(Projection!C14:C25))</f>
        <v>21565993.416666668</v>
      </c>
    </row>
    <row r="22" spans="1:13" x14ac:dyDescent="0.3">
      <c r="E22" s="66" t="s">
        <v>180</v>
      </c>
      <c r="F22" s="66"/>
      <c r="G22" s="66"/>
      <c r="H22" s="42">
        <f>H21*4</f>
        <v>86263973.666666672</v>
      </c>
    </row>
    <row r="24" spans="1:13" x14ac:dyDescent="0.3">
      <c r="A24" s="45" t="s">
        <v>177</v>
      </c>
    </row>
    <row r="25" spans="1:13" x14ac:dyDescent="0.3">
      <c r="A25" s="45" t="s">
        <v>68</v>
      </c>
    </row>
    <row r="26" spans="1:13" x14ac:dyDescent="0.3">
      <c r="A26" s="45" t="s">
        <v>69</v>
      </c>
    </row>
  </sheetData>
  <scenarios current="0" sqref="M17">
    <scenario name="Tidak Buka Outlet Baru" locked="1" count="2" user="Admin" comment="Created by Admin on 9/27/2026">
      <inputCells r="B1" val="Tidak Ada"/>
      <inputCells r="B2" val="1"/>
    </scenario>
    <scenario name="Lokasi C - Bulan 1" locked="1" count="2" user="Admin" comment="Created by Admin on 9/27/2026">
      <inputCells r="B1" val="C"/>
      <inputCells r="B2" val="1"/>
    </scenario>
    <scenario name="Lokasi C - Bulan 4" locked="1" count="2" user="Admin" comment="Created by Admin on 9/27/2026">
      <inputCells r="B1" val="C"/>
      <inputCells r="B2" val="4"/>
    </scenario>
    <scenario name="Lokasi D - Bulan 1" locked="1" count="2" user="Admin" comment="Created by Admin on 9/27/2026">
      <inputCells r="B1" val="D"/>
      <inputCells r="B2" val="1"/>
    </scenario>
    <scenario name="Lokasi D - Bulan 4" locked="1" count="2" user="Admin" comment="Created by Admin on 9/27/2026">
      <inputCells r="B1" val="D"/>
      <inputCells r="B2" val="4"/>
    </scenario>
  </scenarios>
  <mergeCells count="2">
    <mergeCell ref="E21:G21"/>
    <mergeCell ref="E22:G22"/>
  </mergeCells>
  <dataValidations count="1">
    <dataValidation type="list" allowBlank="1" showInputMessage="1" showErrorMessage="1" sqref="B1" xr:uid="{18260177-76B5-4856-A1FA-348011FC4F4E}">
      <formula1>$A$24:$A$26</formula1>
    </dataValidation>
  </dataValidation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4463-6BE8-46A9-A29D-830B5851FA26}">
  <sheetPr>
    <outlinePr summaryBelow="0"/>
  </sheetPr>
  <dimension ref="B1:I12"/>
  <sheetViews>
    <sheetView showGridLines="0" workbookViewId="0">
      <selection activeCell="F12" sqref="F12"/>
    </sheetView>
  </sheetViews>
  <sheetFormatPr defaultRowHeight="14.4" outlineLevelRow="1" outlineLevelCol="1" x14ac:dyDescent="0.3"/>
  <cols>
    <col min="3" max="3" width="6.77734375" bestFit="1" customWidth="1"/>
    <col min="4" max="9" width="18.88671875" bestFit="1" customWidth="1" outlineLevel="1"/>
  </cols>
  <sheetData>
    <row r="1" spans="2:9" ht="15" thickBot="1" x14ac:dyDescent="0.35"/>
    <row r="2" spans="2:9" ht="15.6" x14ac:dyDescent="0.3">
      <c r="B2" s="54" t="s">
        <v>74</v>
      </c>
      <c r="C2" s="54"/>
      <c r="D2" s="59"/>
      <c r="E2" s="59"/>
      <c r="F2" s="59"/>
      <c r="G2" s="59"/>
      <c r="H2" s="59"/>
      <c r="I2" s="59"/>
    </row>
    <row r="3" spans="2:9" ht="15.6" collapsed="1" x14ac:dyDescent="0.3">
      <c r="B3" s="53"/>
      <c r="C3" s="53"/>
      <c r="D3" s="60" t="s">
        <v>76</v>
      </c>
      <c r="E3" s="60" t="s">
        <v>187</v>
      </c>
      <c r="F3" s="60" t="s">
        <v>188</v>
      </c>
      <c r="G3" s="60" t="s">
        <v>189</v>
      </c>
      <c r="H3" s="60" t="s">
        <v>190</v>
      </c>
      <c r="I3" s="60" t="s">
        <v>191</v>
      </c>
    </row>
    <row r="4" spans="2:9" ht="20.399999999999999" hidden="1" outlineLevel="1" x14ac:dyDescent="0.3">
      <c r="B4" s="56"/>
      <c r="C4" s="56"/>
      <c r="E4" s="62" t="s">
        <v>73</v>
      </c>
      <c r="F4" s="62" t="s">
        <v>73</v>
      </c>
      <c r="G4" s="62" t="s">
        <v>73</v>
      </c>
      <c r="H4" s="62" t="s">
        <v>73</v>
      </c>
      <c r="I4" s="62" t="s">
        <v>73</v>
      </c>
    </row>
    <row r="5" spans="2:9" x14ac:dyDescent="0.3">
      <c r="B5" s="57" t="s">
        <v>75</v>
      </c>
      <c r="C5" s="57"/>
      <c r="D5" s="55"/>
      <c r="E5" s="55"/>
      <c r="F5" s="55"/>
      <c r="G5" s="55"/>
      <c r="H5" s="55"/>
      <c r="I5" s="55"/>
    </row>
    <row r="6" spans="2:9" outlineLevel="1" x14ac:dyDescent="0.3">
      <c r="B6" s="56"/>
      <c r="C6" s="56" t="s">
        <v>70</v>
      </c>
      <c r="D6" t="s">
        <v>177</v>
      </c>
      <c r="E6" s="61" t="s">
        <v>177</v>
      </c>
      <c r="F6" s="61" t="s">
        <v>68</v>
      </c>
      <c r="G6" s="61" t="s">
        <v>68</v>
      </c>
      <c r="H6" s="61" t="s">
        <v>69</v>
      </c>
      <c r="I6" s="61" t="s">
        <v>69</v>
      </c>
    </row>
    <row r="7" spans="2:9" outlineLevel="1" x14ac:dyDescent="0.3">
      <c r="B7" s="56"/>
      <c r="C7" s="56" t="s">
        <v>71</v>
      </c>
      <c r="D7">
        <v>1</v>
      </c>
      <c r="E7" s="61">
        <v>1</v>
      </c>
      <c r="F7" s="61">
        <v>1</v>
      </c>
      <c r="G7" s="61">
        <v>4</v>
      </c>
      <c r="H7" s="61">
        <v>1</v>
      </c>
      <c r="I7" s="61">
        <v>4</v>
      </c>
    </row>
    <row r="8" spans="2:9" x14ac:dyDescent="0.3">
      <c r="B8" s="57" t="s">
        <v>77</v>
      </c>
      <c r="C8" s="57"/>
      <c r="D8" s="55"/>
      <c r="E8" s="55"/>
      <c r="F8" s="55"/>
      <c r="G8" s="55"/>
      <c r="H8" s="55"/>
      <c r="I8" s="55"/>
    </row>
    <row r="9" spans="2:9" ht="15" outlineLevel="1" thickBot="1" x14ac:dyDescent="0.35">
      <c r="B9" s="58"/>
      <c r="C9" s="58" t="s">
        <v>72</v>
      </c>
      <c r="D9" s="52">
        <v>458371021.88235301</v>
      </c>
      <c r="E9" s="52">
        <v>458371021.88235301</v>
      </c>
      <c r="F9" s="52">
        <v>404500973.36235303</v>
      </c>
      <c r="G9" s="52">
        <v>380154704.36235303</v>
      </c>
      <c r="H9" s="52">
        <v>431054853.832353</v>
      </c>
      <c r="I9" s="52">
        <v>406708584.832353</v>
      </c>
    </row>
    <row r="10" spans="2:9" x14ac:dyDescent="0.3">
      <c r="B10" t="s">
        <v>78</v>
      </c>
    </row>
    <row r="11" spans="2:9" x14ac:dyDescent="0.3">
      <c r="B11" t="s">
        <v>79</v>
      </c>
    </row>
    <row r="12" spans="2:9" x14ac:dyDescent="0.3">
      <c r="B1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Assumptions_Parameters</vt:lpstr>
      <vt:lpstr>Outlet_Reference</vt:lpstr>
      <vt:lpstr>Daily_Sales</vt:lpstr>
      <vt:lpstr>Monthly_Costs</vt:lpstr>
      <vt:lpstr>Projection</vt:lpstr>
      <vt:lpstr>New_Outlet_Scenario</vt:lpstr>
      <vt:lpstr>Scenario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2026-09-25T01:06:01Z</dcterms:created>
  <dcterms:modified xsi:type="dcterms:W3CDTF">2026-10-18T10:10:01Z</dcterms:modified>
</cp:coreProperties>
</file>